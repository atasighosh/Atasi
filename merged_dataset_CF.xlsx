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95c9a0e6259f3b07/Desktop/dataset/"/>
    </mc:Choice>
  </mc:AlternateContent>
  <xr:revisionPtr revIDLastSave="2" documentId="8_{282BCC80-7238-404B-9E75-E70C6169BA49}" xr6:coauthVersionLast="47" xr6:coauthVersionMax="47" xr10:uidLastSave="{F834D7B7-28EE-41B7-A9AD-BAF85EF02E3F}"/>
  <bookViews>
    <workbookView xWindow="-108" yWindow="-108" windowWidth="23256" windowHeight="12456" xr2:uid="{00000000-000D-0000-FFFF-FFFF00000000}"/>
  </bookViews>
  <sheets>
    <sheet name="Sheet1" sheetId="3" r:id="rId1"/>
    <sheet name="Sheet_creep" sheetId="4" r:id="rId2"/>
    <sheet name="Sheet2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" i="2" l="1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" i="2"/>
</calcChain>
</file>

<file path=xl/sharedStrings.xml><?xml version="1.0" encoding="utf-8"?>
<sst xmlns="http://schemas.openxmlformats.org/spreadsheetml/2006/main" count="4112" uniqueCount="354">
  <si>
    <t>Alloy</t>
  </si>
  <si>
    <t>Defect_Size_um</t>
  </si>
  <si>
    <t>TA15</t>
  </si>
  <si>
    <t>LDED</t>
  </si>
  <si>
    <t>DAN</t>
  </si>
  <si>
    <t>FC</t>
  </si>
  <si>
    <t>AB</t>
  </si>
  <si>
    <t>TC4</t>
  </si>
  <si>
    <t>SLM</t>
  </si>
  <si>
    <t>AN</t>
  </si>
  <si>
    <t>LMD</t>
  </si>
  <si>
    <t>LENS</t>
  </si>
  <si>
    <t>EPBF</t>
  </si>
  <si>
    <t>HIP</t>
  </si>
  <si>
    <t>LPBF</t>
  </si>
  <si>
    <t>SMAT</t>
  </si>
  <si>
    <t>EBM</t>
  </si>
  <si>
    <t>AN+HIP</t>
  </si>
  <si>
    <t>AN+HIP+MP</t>
  </si>
  <si>
    <t>DMLS</t>
  </si>
  <si>
    <t>cooling_cond</t>
  </si>
  <si>
    <t>AC</t>
  </si>
  <si>
    <t>Ti6321</t>
  </si>
  <si>
    <t>IMI834</t>
  </si>
  <si>
    <t>Ti6Al</t>
  </si>
  <si>
    <t>TiGR1</t>
  </si>
  <si>
    <t>TiGR4</t>
  </si>
  <si>
    <t>IMI829</t>
  </si>
  <si>
    <t>Ti6242s</t>
  </si>
  <si>
    <t>IMI685</t>
  </si>
  <si>
    <t>Ti6246</t>
  </si>
  <si>
    <t>Ti6242</t>
  </si>
  <si>
    <t>Ti6243</t>
  </si>
  <si>
    <t>Ti6244</t>
  </si>
  <si>
    <t>Ti6245</t>
  </si>
  <si>
    <t>Ti6247</t>
  </si>
  <si>
    <t>Ti6248</t>
  </si>
  <si>
    <t>Ti6249</t>
  </si>
  <si>
    <t>Ti6250</t>
  </si>
  <si>
    <t>Ti6251</t>
  </si>
  <si>
    <t>Ti6252</t>
  </si>
  <si>
    <t>Ti6253</t>
  </si>
  <si>
    <t>Ti6254</t>
  </si>
  <si>
    <t>Ti6255</t>
  </si>
  <si>
    <t>Ti6256</t>
  </si>
  <si>
    <t>Ti6257</t>
  </si>
  <si>
    <t>Ti6258</t>
  </si>
  <si>
    <t>Ti6259</t>
  </si>
  <si>
    <t>Ti6260</t>
  </si>
  <si>
    <t>Ti6261</t>
  </si>
  <si>
    <t>Ti6262</t>
  </si>
  <si>
    <t>Ti6263</t>
  </si>
  <si>
    <t>Ti6264</t>
  </si>
  <si>
    <t>Ti6265</t>
  </si>
  <si>
    <t>Ti6266</t>
  </si>
  <si>
    <t>Ti6267</t>
  </si>
  <si>
    <t>Ti6268</t>
  </si>
  <si>
    <t>Ti6269</t>
  </si>
  <si>
    <t>Ti6270</t>
  </si>
  <si>
    <t>Ti6271</t>
  </si>
  <si>
    <t>Ti6272</t>
  </si>
  <si>
    <t>Ti6273</t>
  </si>
  <si>
    <t>Ti6274</t>
  </si>
  <si>
    <t>Ti6275</t>
  </si>
  <si>
    <t>Ti6276</t>
  </si>
  <si>
    <t>Ti6277</t>
  </si>
  <si>
    <t>Ti6278</t>
  </si>
  <si>
    <t>Ti6279</t>
  </si>
  <si>
    <t>Ti6280</t>
  </si>
  <si>
    <t>Ti6281</t>
  </si>
  <si>
    <t>Ti6282</t>
  </si>
  <si>
    <t>Ti6283</t>
  </si>
  <si>
    <t>Ti6284</t>
  </si>
  <si>
    <t>Ti6285</t>
  </si>
  <si>
    <t>Ti6286</t>
  </si>
  <si>
    <t>Ti6288</t>
  </si>
  <si>
    <t>Ti6289</t>
  </si>
  <si>
    <t>Ti6290</t>
  </si>
  <si>
    <t>Ti6291</t>
  </si>
  <si>
    <t>Ti6292</t>
  </si>
  <si>
    <t>Ti6293</t>
  </si>
  <si>
    <t>Ti6294</t>
  </si>
  <si>
    <t>Ti6295</t>
  </si>
  <si>
    <t>Ti6296</t>
  </si>
  <si>
    <t>Ti6297</t>
  </si>
  <si>
    <t>Ti6298</t>
  </si>
  <si>
    <t>Ti6299</t>
  </si>
  <si>
    <t>Ti6300</t>
  </si>
  <si>
    <t>Ti6301</t>
  </si>
  <si>
    <t>Ti6302</t>
  </si>
  <si>
    <t>Ti6303</t>
  </si>
  <si>
    <t>Ti6304</t>
  </si>
  <si>
    <t>Ti6305</t>
  </si>
  <si>
    <t>Ti6306</t>
  </si>
  <si>
    <t>Ti6307</t>
  </si>
  <si>
    <t>Ti6308</t>
  </si>
  <si>
    <t>Ti6309</t>
  </si>
  <si>
    <t>Ti6310</t>
  </si>
  <si>
    <t>Ti6311</t>
  </si>
  <si>
    <t>Ti6312</t>
  </si>
  <si>
    <t>Ti6313</t>
  </si>
  <si>
    <t>Ti6314</t>
  </si>
  <si>
    <t>Ti6315</t>
  </si>
  <si>
    <t>Ti6316</t>
  </si>
  <si>
    <t>Ti6317</t>
  </si>
  <si>
    <t>Ti6318</t>
  </si>
  <si>
    <t>Ti6319</t>
  </si>
  <si>
    <t>Ti6320</t>
  </si>
  <si>
    <t>Ti6322</t>
  </si>
  <si>
    <t>Ti6323</t>
  </si>
  <si>
    <t>Ti6324</t>
  </si>
  <si>
    <t>Ti6325</t>
  </si>
  <si>
    <t>Ti6326</t>
  </si>
  <si>
    <t>Ti6327</t>
  </si>
  <si>
    <t>Ti6328</t>
  </si>
  <si>
    <t>Ti6329</t>
  </si>
  <si>
    <t>Ti6330</t>
  </si>
  <si>
    <t>Ti6331</t>
  </si>
  <si>
    <t>Ti6332</t>
  </si>
  <si>
    <t>Ti6333</t>
  </si>
  <si>
    <t>Ti6334</t>
  </si>
  <si>
    <t>Ti6335</t>
  </si>
  <si>
    <t>Ti6336</t>
  </si>
  <si>
    <t>Ti6337</t>
  </si>
  <si>
    <t>Ti6338</t>
  </si>
  <si>
    <t>Ti6339</t>
  </si>
  <si>
    <t>Ti6340</t>
  </si>
  <si>
    <t>Ti6341</t>
  </si>
  <si>
    <t>Ti6342</t>
  </si>
  <si>
    <t>Ti6343</t>
  </si>
  <si>
    <t>Ti6344</t>
  </si>
  <si>
    <t>Ti6345</t>
  </si>
  <si>
    <t>Ti6346</t>
  </si>
  <si>
    <t>Ti6347</t>
  </si>
  <si>
    <t>Ti6348</t>
  </si>
  <si>
    <t>Ti6351</t>
  </si>
  <si>
    <t>Ti6352</t>
  </si>
  <si>
    <t>Ti6353</t>
  </si>
  <si>
    <t>Ti6354</t>
  </si>
  <si>
    <t>WRT</t>
  </si>
  <si>
    <t>fatigue_life</t>
  </si>
  <si>
    <t>Process</t>
  </si>
  <si>
    <t>Post_Processing</t>
  </si>
  <si>
    <t>machine_polish</t>
  </si>
  <si>
    <t>HIP_Time_hrs</t>
  </si>
  <si>
    <r>
      <t>HIP_temp_</t>
    </r>
    <r>
      <rPr>
        <b/>
        <sz val="11"/>
        <rFont val="Calibri"/>
        <family val="2"/>
      </rPr>
      <t>֯C</t>
    </r>
  </si>
  <si>
    <r>
      <t>ann_temp_</t>
    </r>
    <r>
      <rPr>
        <b/>
        <sz val="11"/>
        <rFont val="Calibri"/>
        <family val="2"/>
      </rPr>
      <t>֯C</t>
    </r>
  </si>
  <si>
    <t>ann_time_hrs</t>
  </si>
  <si>
    <r>
      <t>ageing_temp_</t>
    </r>
    <r>
      <rPr>
        <b/>
        <sz val="11"/>
        <rFont val="Calibri"/>
        <family val="2"/>
      </rPr>
      <t>֯C</t>
    </r>
  </si>
  <si>
    <t>ageing_time_hrs</t>
  </si>
  <si>
    <t>HIP_Press_MPa</t>
  </si>
  <si>
    <t>R_ratio</t>
  </si>
  <si>
    <t>Fatigue_Strength_MPa</t>
  </si>
  <si>
    <t>alpha_stabilizer_%</t>
  </si>
  <si>
    <t>beta_stabilizer_%</t>
  </si>
  <si>
    <t>interstitial_%</t>
  </si>
  <si>
    <t>Predicted_Rupture_Time_hrs</t>
  </si>
  <si>
    <t>Calculated_dwell_life</t>
  </si>
  <si>
    <t>HIP_temp_֯C</t>
  </si>
  <si>
    <t>ann_temp_֯C</t>
  </si>
  <si>
    <t>ageing_temp_֯C</t>
  </si>
  <si>
    <t>%Al</t>
  </si>
  <si>
    <t>%Sn</t>
  </si>
  <si>
    <t>%Zr</t>
  </si>
  <si>
    <t>%Nb</t>
  </si>
  <si>
    <t>%Mo</t>
  </si>
  <si>
    <t>%V</t>
  </si>
  <si>
    <t>%Si</t>
  </si>
  <si>
    <t>%Fe</t>
  </si>
  <si>
    <t>%O</t>
  </si>
  <si>
    <t>%C</t>
  </si>
  <si>
    <t>%N</t>
  </si>
  <si>
    <t>%H</t>
  </si>
  <si>
    <t>Ti6355</t>
  </si>
  <si>
    <t>Ti6356</t>
  </si>
  <si>
    <t>Ti6357</t>
  </si>
  <si>
    <t>Ti6358</t>
  </si>
  <si>
    <t>Ti6359</t>
  </si>
  <si>
    <t>Ti6360</t>
  </si>
  <si>
    <t>Ti6361</t>
  </si>
  <si>
    <t>Ti6362</t>
  </si>
  <si>
    <t>Ti6363</t>
  </si>
  <si>
    <t>Ti6364</t>
  </si>
  <si>
    <t>Ti6365</t>
  </si>
  <si>
    <t>Ti6366</t>
  </si>
  <si>
    <t>Ti6367</t>
  </si>
  <si>
    <t>Ti6368</t>
  </si>
  <si>
    <t>Ti6369</t>
  </si>
  <si>
    <t>Ti6370</t>
  </si>
  <si>
    <t>Ti6371</t>
  </si>
  <si>
    <t>Ti6372</t>
  </si>
  <si>
    <t>Ti6373</t>
  </si>
  <si>
    <t>Ti6374</t>
  </si>
  <si>
    <t>Ti6375</t>
  </si>
  <si>
    <t>Ti6376</t>
  </si>
  <si>
    <t>Ti6377</t>
  </si>
  <si>
    <t>Ti6378</t>
  </si>
  <si>
    <t>Ti6379</t>
  </si>
  <si>
    <t>Ti6380</t>
  </si>
  <si>
    <t>Ti6381</t>
  </si>
  <si>
    <t>Ti6382</t>
  </si>
  <si>
    <t>Ti6383</t>
  </si>
  <si>
    <t>Ti6384</t>
  </si>
  <si>
    <t>Ti6385</t>
  </si>
  <si>
    <t>Ti6386</t>
  </si>
  <si>
    <t>Ti6387</t>
  </si>
  <si>
    <t>Ti6388</t>
  </si>
  <si>
    <t>Ti6389</t>
  </si>
  <si>
    <t>Ti6390</t>
  </si>
  <si>
    <t>Ti6391</t>
  </si>
  <si>
    <t>Ti6392</t>
  </si>
  <si>
    <t>Ti6393</t>
  </si>
  <si>
    <t>Ti6394</t>
  </si>
  <si>
    <t>Ti6395</t>
  </si>
  <si>
    <t>Ti6396</t>
  </si>
  <si>
    <t>Ti6397</t>
  </si>
  <si>
    <t>Ti6398</t>
  </si>
  <si>
    <t>Ti6399</t>
  </si>
  <si>
    <t>Ti6400</t>
  </si>
  <si>
    <t>Ti6401</t>
  </si>
  <si>
    <t>Ti6402</t>
  </si>
  <si>
    <t>Ti6403</t>
  </si>
  <si>
    <t>Ti6404</t>
  </si>
  <si>
    <t>Ti6405</t>
  </si>
  <si>
    <t>Ti6406</t>
  </si>
  <si>
    <t>Ti6407</t>
  </si>
  <si>
    <t>Ti6408</t>
  </si>
  <si>
    <t>Ti6409</t>
  </si>
  <si>
    <t>Ti6410</t>
  </si>
  <si>
    <t>Ti6411</t>
  </si>
  <si>
    <t>Ti6412</t>
  </si>
  <si>
    <t>Ti6413</t>
  </si>
  <si>
    <t>Ti6414</t>
  </si>
  <si>
    <t>Ti6415</t>
  </si>
  <si>
    <t>Ti6416</t>
  </si>
  <si>
    <t>Ti6417</t>
  </si>
  <si>
    <t>Ti6418</t>
  </si>
  <si>
    <t>Ti6419</t>
  </si>
  <si>
    <t>Ti6420</t>
  </si>
  <si>
    <t>Ti6421</t>
  </si>
  <si>
    <t>Ti6422</t>
  </si>
  <si>
    <t>Ti6423</t>
  </si>
  <si>
    <t>Ti6424</t>
  </si>
  <si>
    <t>Ti6425</t>
  </si>
  <si>
    <t>Ti6426</t>
  </si>
  <si>
    <t>Ti6427</t>
  </si>
  <si>
    <t>Ti6428</t>
  </si>
  <si>
    <t>Ti6429</t>
  </si>
  <si>
    <t>Ti6430</t>
  </si>
  <si>
    <t>Ti6431</t>
  </si>
  <si>
    <t>Ti6432</t>
  </si>
  <si>
    <t>Ti6433</t>
  </si>
  <si>
    <t>Ti6434</t>
  </si>
  <si>
    <t>Ti6435</t>
  </si>
  <si>
    <t>Ti6436</t>
  </si>
  <si>
    <t>Ti6437</t>
  </si>
  <si>
    <t>Ti6438</t>
  </si>
  <si>
    <t>Ti6439</t>
  </si>
  <si>
    <t>Ti6440</t>
  </si>
  <si>
    <t>Ti6441</t>
  </si>
  <si>
    <t>Ti6442</t>
  </si>
  <si>
    <t>Ti6443</t>
  </si>
  <si>
    <t>Ti6444</t>
  </si>
  <si>
    <t>Ti6445</t>
  </si>
  <si>
    <t>Ti6446</t>
  </si>
  <si>
    <t>Ti6447</t>
  </si>
  <si>
    <t>Ti6448</t>
  </si>
  <si>
    <t>Ti6449</t>
  </si>
  <si>
    <t>Ti6450</t>
  </si>
  <si>
    <t>Ti6451</t>
  </si>
  <si>
    <t>Ti6452</t>
  </si>
  <si>
    <t>Ti6453</t>
  </si>
  <si>
    <t>Ti6454</t>
  </si>
  <si>
    <t>Ti6455</t>
  </si>
  <si>
    <t>Ti6456</t>
  </si>
  <si>
    <t>Ti6457</t>
  </si>
  <si>
    <t>Ti6458</t>
  </si>
  <si>
    <t>Ti6459</t>
  </si>
  <si>
    <t>Ti6460</t>
  </si>
  <si>
    <t>Ti6461</t>
  </si>
  <si>
    <t>Ti6462</t>
  </si>
  <si>
    <t>Ti6463</t>
  </si>
  <si>
    <t>Ti6464</t>
  </si>
  <si>
    <t>Ti6465</t>
  </si>
  <si>
    <t>Ti6466</t>
  </si>
  <si>
    <t>Ti6467</t>
  </si>
  <si>
    <t>Ti6468</t>
  </si>
  <si>
    <t>Ti6469</t>
  </si>
  <si>
    <t>Ti6470</t>
  </si>
  <si>
    <t>Ti6471</t>
  </si>
  <si>
    <t>Ti6472</t>
  </si>
  <si>
    <t>Ti6473</t>
  </si>
  <si>
    <t>Ti6474</t>
  </si>
  <si>
    <t>Ti6475</t>
  </si>
  <si>
    <t>Ti6476</t>
  </si>
  <si>
    <t>Ti6477</t>
  </si>
  <si>
    <t>Ti6478</t>
  </si>
  <si>
    <t>Ti6479</t>
  </si>
  <si>
    <t>Ti6480</t>
  </si>
  <si>
    <t>Ti6481</t>
  </si>
  <si>
    <t>Ti6482</t>
  </si>
  <si>
    <t>Ti6483</t>
  </si>
  <si>
    <t>Ti6484</t>
  </si>
  <si>
    <t>Ti6485</t>
  </si>
  <si>
    <t>Ti6486</t>
  </si>
  <si>
    <t>Ti6487</t>
  </si>
  <si>
    <t>Ti6488</t>
  </si>
  <si>
    <t>Ti6489</t>
  </si>
  <si>
    <t>Ti6490</t>
  </si>
  <si>
    <t>Ti6491</t>
  </si>
  <si>
    <t>Ti6492</t>
  </si>
  <si>
    <t>Ti6493</t>
  </si>
  <si>
    <t>Ti6494</t>
  </si>
  <si>
    <t>Ti6495</t>
  </si>
  <si>
    <t>Ti6496</t>
  </si>
  <si>
    <t>Ti6497</t>
  </si>
  <si>
    <t>Ti6498</t>
  </si>
  <si>
    <t>Ti6499</t>
  </si>
  <si>
    <t>Ti6500</t>
  </si>
  <si>
    <t>Ti6501</t>
  </si>
  <si>
    <t>Ti6502</t>
  </si>
  <si>
    <t>Ti6503</t>
  </si>
  <si>
    <t>Ti6504</t>
  </si>
  <si>
    <t>Ti6505</t>
  </si>
  <si>
    <t>Ti6506</t>
  </si>
  <si>
    <t>Ti6507</t>
  </si>
  <si>
    <t>Ti6508</t>
  </si>
  <si>
    <t>Ti6509</t>
  </si>
  <si>
    <t>Ti6510</t>
  </si>
  <si>
    <t>Ti6511</t>
  </si>
  <si>
    <t>Ti6512</t>
  </si>
  <si>
    <t>Ti6513</t>
  </si>
  <si>
    <t>Ti6514</t>
  </si>
  <si>
    <t>Ti6515</t>
  </si>
  <si>
    <t>Ti6516</t>
  </si>
  <si>
    <t>Ti6517</t>
  </si>
  <si>
    <t>Ti6518</t>
  </si>
  <si>
    <t>Ti6519</t>
  </si>
  <si>
    <t>Ti6520</t>
  </si>
  <si>
    <t>Ti6521</t>
  </si>
  <si>
    <t>Ti6522</t>
  </si>
  <si>
    <t>Ti6523</t>
  </si>
  <si>
    <t>Ti6524</t>
  </si>
  <si>
    <t>Ti6525</t>
  </si>
  <si>
    <t>Ti6526</t>
  </si>
  <si>
    <t>Ti6527</t>
  </si>
  <si>
    <t>Ti6528</t>
  </si>
  <si>
    <t>Ti6529</t>
  </si>
  <si>
    <t>Ti6530</t>
  </si>
  <si>
    <t>Ti6531</t>
  </si>
  <si>
    <t>Peak_Stress_Mpa</t>
  </si>
  <si>
    <t>Rupture_Time_hrs</t>
  </si>
  <si>
    <t>steady state strain rate (1/s)</t>
  </si>
  <si>
    <t>Temperature of creep test (cel)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</si>
</sst>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2" xfId="0" applyBorder="1"/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right" vertical="top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1" fillId="0" borderId="1" xfId="0" applyFont="1" applyBorder="1" applyAlignment="1">
      <alignment vertical="top"/>
    </xf>
    <xf numFmtId="0" fontId="3" fillId="0" borderId="0" xfId="0" applyFont="1" applyAlignment="1">
      <alignment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right"/>
    </xf>
    <xf numFmtId="0" fontId="4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right"/>
    </xf>
    <xf numFmtId="0" fontId="0" fillId="2" borderId="0" xfId="0" applyFill="1"/>
    <xf numFmtId="0" fontId="0" fillId="0" borderId="1" xfId="0" applyBorder="1" applyAlignment="1">
      <alignment horizontal="right"/>
    </xf>
    <xf numFmtId="0" fontId="6" fillId="0" borderId="1" xfId="0" applyFont="1" applyBorder="1" applyAlignment="1">
      <alignment horizontal="right" vertical="center"/>
    </xf>
    <xf numFmtId="0" fontId="6" fillId="0" borderId="1" xfId="1" applyBorder="1" applyAlignment="1">
      <alignment horizontal="right"/>
    </xf>
    <xf numFmtId="0" fontId="0" fillId="0" borderId="1" xfId="0" applyBorder="1" applyAlignment="1">
      <alignment horizontal="right" vertical="center"/>
    </xf>
    <xf numFmtId="0" fontId="7" fillId="0" borderId="1" xfId="0" applyFont="1" applyBorder="1" applyAlignment="1">
      <alignment horizontal="right" vertical="center"/>
    </xf>
    <xf numFmtId="164" fontId="6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right" vertical="top" wrapText="1"/>
    </xf>
    <xf numFmtId="0" fontId="0" fillId="0" borderId="1" xfId="0" applyBorder="1" applyAlignment="1">
      <alignment horizontal="right" vertical="top" wrapText="1"/>
    </xf>
    <xf numFmtId="0" fontId="5" fillId="0" borderId="1" xfId="0" applyFont="1" applyBorder="1" applyAlignment="1">
      <alignment horizontal="left" vertical="center" wrapText="1"/>
    </xf>
    <xf numFmtId="11" fontId="0" fillId="0" borderId="1" xfId="0" applyNumberFormat="1" applyBorder="1" applyAlignment="1">
      <alignment horizontal="right" vertical="center"/>
    </xf>
    <xf numFmtId="11" fontId="7" fillId="0" borderId="1" xfId="0" applyNumberFormat="1" applyFont="1" applyBorder="1" applyAlignment="1">
      <alignment horizontal="right" vertical="center"/>
    </xf>
    <xf numFmtId="11" fontId="0" fillId="0" borderId="1" xfId="0" applyNumberFormat="1" applyBorder="1" applyAlignment="1">
      <alignment horizontal="right" vertical="top" wrapText="1"/>
    </xf>
    <xf numFmtId="0" fontId="5" fillId="0" borderId="1" xfId="0" applyFont="1" applyBorder="1"/>
    <xf numFmtId="0" fontId="5" fillId="0" borderId="0" xfId="0" applyFont="1"/>
  </cellXfs>
  <cellStyles count="2">
    <cellStyle name="Normal" xfId="0" builtinId="0"/>
    <cellStyle name="Normal 2" xfId="1" xr:uid="{B0B540E4-9E20-4D9C-B3AB-6CD2B92EC3D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A75E2-6F70-43E7-B76E-B087F598C10F}">
  <dimension ref="A1:AD396"/>
  <sheetViews>
    <sheetView tabSelected="1" workbookViewId="0">
      <selection sqref="A1:XFD1048576"/>
    </sheetView>
  </sheetViews>
  <sheetFormatPr defaultRowHeight="14.4" x14ac:dyDescent="0.3"/>
  <cols>
    <col min="14" max="14" width="11" customWidth="1"/>
    <col min="15" max="15" width="13" customWidth="1"/>
    <col min="16" max="16" width="16.44140625" customWidth="1"/>
    <col min="17" max="18" width="18.77734375" customWidth="1"/>
  </cols>
  <sheetData>
    <row r="1" spans="1:30" s="27" customFormat="1" ht="28.8" x14ac:dyDescent="0.3">
      <c r="A1" s="27" t="s">
        <v>0</v>
      </c>
      <c r="B1" s="27" t="s">
        <v>141</v>
      </c>
      <c r="C1" s="27" t="s">
        <v>142</v>
      </c>
      <c r="D1" s="27" t="s">
        <v>158</v>
      </c>
      <c r="E1" s="27" t="s">
        <v>150</v>
      </c>
      <c r="F1" s="27" t="s">
        <v>144</v>
      </c>
      <c r="G1" s="27" t="s">
        <v>159</v>
      </c>
      <c r="H1" s="27" t="s">
        <v>147</v>
      </c>
      <c r="I1" s="27" t="s">
        <v>20</v>
      </c>
      <c r="J1" s="27" t="s">
        <v>160</v>
      </c>
      <c r="K1" s="27" t="s">
        <v>149</v>
      </c>
      <c r="L1" s="27" t="s">
        <v>1</v>
      </c>
      <c r="M1" s="27" t="s">
        <v>151</v>
      </c>
      <c r="N1" s="27" t="s">
        <v>140</v>
      </c>
      <c r="O1" s="27" t="s">
        <v>350</v>
      </c>
      <c r="P1" s="27" t="s">
        <v>351</v>
      </c>
      <c r="Q1" s="23" t="s">
        <v>352</v>
      </c>
      <c r="R1" s="23" t="s">
        <v>353</v>
      </c>
      <c r="S1" s="12" t="s">
        <v>161</v>
      </c>
      <c r="T1" s="1" t="s">
        <v>162</v>
      </c>
      <c r="U1" s="1" t="s">
        <v>163</v>
      </c>
      <c r="V1" s="12" t="s">
        <v>164</v>
      </c>
      <c r="W1" s="1" t="s">
        <v>165</v>
      </c>
      <c r="X1" s="1" t="s">
        <v>166</v>
      </c>
      <c r="Y1" s="1" t="s">
        <v>167</v>
      </c>
      <c r="Z1" s="1" t="s">
        <v>168</v>
      </c>
      <c r="AA1" s="1" t="s">
        <v>169</v>
      </c>
      <c r="AB1" s="1" t="s">
        <v>170</v>
      </c>
      <c r="AC1" s="1" t="s">
        <v>171</v>
      </c>
      <c r="AD1" s="1" t="s">
        <v>172</v>
      </c>
    </row>
    <row r="2" spans="1:30" x14ac:dyDescent="0.3">
      <c r="A2" t="s">
        <v>31</v>
      </c>
      <c r="B2" t="s">
        <v>14</v>
      </c>
      <c r="C2" t="s">
        <v>13</v>
      </c>
      <c r="D2">
        <v>1030</v>
      </c>
      <c r="E2">
        <v>100</v>
      </c>
      <c r="F2">
        <v>1</v>
      </c>
      <c r="G2">
        <v>25</v>
      </c>
      <c r="H2">
        <v>2</v>
      </c>
      <c r="I2" t="s">
        <v>21</v>
      </c>
      <c r="J2">
        <v>25</v>
      </c>
      <c r="K2">
        <v>2</v>
      </c>
      <c r="L2">
        <v>6</v>
      </c>
      <c r="M2">
        <v>0.1</v>
      </c>
      <c r="N2">
        <v>5025</v>
      </c>
      <c r="O2">
        <v>480</v>
      </c>
      <c r="P2">
        <v>0.95917011249040085</v>
      </c>
      <c r="Q2" s="11">
        <v>6.9880469874522094E-7</v>
      </c>
      <c r="R2" s="11">
        <v>25</v>
      </c>
      <c r="S2">
        <v>5.5</v>
      </c>
      <c r="T2">
        <v>1.8</v>
      </c>
      <c r="U2">
        <v>1.5</v>
      </c>
      <c r="V2">
        <v>0</v>
      </c>
      <c r="W2">
        <v>0.5</v>
      </c>
      <c r="X2">
        <v>0</v>
      </c>
      <c r="Y2">
        <v>0</v>
      </c>
      <c r="Z2">
        <v>0</v>
      </c>
      <c r="AA2">
        <v>0.2</v>
      </c>
      <c r="AB2">
        <v>0.05</v>
      </c>
      <c r="AC2">
        <v>0</v>
      </c>
      <c r="AD2">
        <v>1.4999999999999999E-2</v>
      </c>
    </row>
    <row r="3" spans="1:30" x14ac:dyDescent="0.3">
      <c r="A3" t="s">
        <v>2</v>
      </c>
      <c r="B3" t="s">
        <v>3</v>
      </c>
      <c r="C3" t="s">
        <v>4</v>
      </c>
      <c r="D3">
        <v>25</v>
      </c>
      <c r="E3">
        <v>76</v>
      </c>
      <c r="F3">
        <v>2</v>
      </c>
      <c r="G3">
        <v>950</v>
      </c>
      <c r="H3">
        <v>2</v>
      </c>
      <c r="I3" t="s">
        <v>5</v>
      </c>
      <c r="J3">
        <v>600</v>
      </c>
      <c r="K3">
        <v>4</v>
      </c>
      <c r="L3">
        <v>78</v>
      </c>
      <c r="M3">
        <v>0.06</v>
      </c>
      <c r="N3">
        <v>160000</v>
      </c>
      <c r="O3">
        <v>720</v>
      </c>
      <c r="P3">
        <v>0.77599052393341339</v>
      </c>
      <c r="Q3" s="11">
        <v>7.0821778393768101E-7</v>
      </c>
      <c r="R3" s="11">
        <v>25</v>
      </c>
      <c r="S3">
        <v>6.69</v>
      </c>
      <c r="T3">
        <v>0</v>
      </c>
      <c r="U3">
        <v>2.14</v>
      </c>
      <c r="V3">
        <v>0</v>
      </c>
      <c r="W3">
        <v>1.65</v>
      </c>
      <c r="X3">
        <v>2.11</v>
      </c>
      <c r="Y3">
        <v>2.1999999999999999E-2</v>
      </c>
      <c r="Z3">
        <v>2.5999999999999999E-2</v>
      </c>
      <c r="AA3">
        <v>0.12</v>
      </c>
      <c r="AB3">
        <v>3.9E-2</v>
      </c>
      <c r="AC3">
        <v>0.02</v>
      </c>
      <c r="AD3">
        <v>3.0999999999999999E-3</v>
      </c>
    </row>
    <row r="4" spans="1:30" x14ac:dyDescent="0.3">
      <c r="A4" t="s">
        <v>2</v>
      </c>
      <c r="B4" t="s">
        <v>3</v>
      </c>
      <c r="C4" t="s">
        <v>4</v>
      </c>
      <c r="D4">
        <v>25</v>
      </c>
      <c r="E4">
        <v>76</v>
      </c>
      <c r="F4">
        <v>2</v>
      </c>
      <c r="G4">
        <v>950</v>
      </c>
      <c r="H4">
        <v>2</v>
      </c>
      <c r="I4" t="s">
        <v>5</v>
      </c>
      <c r="J4">
        <v>600</v>
      </c>
      <c r="K4">
        <v>4</v>
      </c>
      <c r="L4">
        <v>8</v>
      </c>
      <c r="M4">
        <v>0.06</v>
      </c>
      <c r="N4">
        <v>1550000</v>
      </c>
      <c r="O4">
        <v>720</v>
      </c>
      <c r="P4">
        <v>0.77599052393341339</v>
      </c>
      <c r="Q4" s="11">
        <v>7.0821778393768101E-7</v>
      </c>
      <c r="R4" s="11">
        <v>25</v>
      </c>
      <c r="S4">
        <v>6.69</v>
      </c>
      <c r="T4">
        <v>0</v>
      </c>
      <c r="U4">
        <v>2.14</v>
      </c>
      <c r="V4">
        <v>0</v>
      </c>
      <c r="W4">
        <v>1.65</v>
      </c>
      <c r="X4">
        <v>2.11</v>
      </c>
      <c r="Y4">
        <v>2.1999999999999999E-2</v>
      </c>
      <c r="Z4">
        <v>2.5999999999999999E-2</v>
      </c>
      <c r="AA4">
        <v>0.12</v>
      </c>
      <c r="AB4">
        <v>3.9E-2</v>
      </c>
      <c r="AC4">
        <v>0.02</v>
      </c>
      <c r="AD4">
        <v>3.0999999999999999E-3</v>
      </c>
    </row>
    <row r="5" spans="1:30" x14ac:dyDescent="0.3">
      <c r="A5" t="s">
        <v>2</v>
      </c>
      <c r="B5" t="s">
        <v>3</v>
      </c>
      <c r="C5" t="s">
        <v>4</v>
      </c>
      <c r="D5">
        <v>25</v>
      </c>
      <c r="E5">
        <v>76</v>
      </c>
      <c r="F5">
        <v>2</v>
      </c>
      <c r="G5">
        <v>950</v>
      </c>
      <c r="H5">
        <v>2</v>
      </c>
      <c r="I5" t="s">
        <v>5</v>
      </c>
      <c r="J5">
        <v>600</v>
      </c>
      <c r="K5">
        <v>4</v>
      </c>
      <c r="L5">
        <v>132</v>
      </c>
      <c r="M5">
        <v>0.06</v>
      </c>
      <c r="N5">
        <v>50000</v>
      </c>
      <c r="O5">
        <v>760</v>
      </c>
      <c r="P5">
        <v>0.77599052393341339</v>
      </c>
      <c r="Q5" s="11">
        <v>7.0948252702288829E-7</v>
      </c>
      <c r="R5" s="11">
        <v>25</v>
      </c>
      <c r="S5">
        <v>6.69</v>
      </c>
      <c r="T5">
        <v>0</v>
      </c>
      <c r="U5">
        <v>2.14</v>
      </c>
      <c r="V5">
        <v>0</v>
      </c>
      <c r="W5">
        <v>1.65</v>
      </c>
      <c r="X5">
        <v>2.11</v>
      </c>
      <c r="Y5">
        <v>2.1999999999999999E-2</v>
      </c>
      <c r="Z5">
        <v>2.5999999999999999E-2</v>
      </c>
      <c r="AA5">
        <v>0.12</v>
      </c>
      <c r="AB5">
        <v>3.9E-2</v>
      </c>
      <c r="AC5">
        <v>0.02</v>
      </c>
      <c r="AD5">
        <v>3.0999999999999999E-3</v>
      </c>
    </row>
    <row r="6" spans="1:30" x14ac:dyDescent="0.3">
      <c r="A6" t="s">
        <v>2</v>
      </c>
      <c r="B6" t="s">
        <v>3</v>
      </c>
      <c r="C6" t="s">
        <v>4</v>
      </c>
      <c r="D6">
        <v>25</v>
      </c>
      <c r="E6">
        <v>76</v>
      </c>
      <c r="F6">
        <v>2</v>
      </c>
      <c r="G6">
        <v>950</v>
      </c>
      <c r="H6">
        <v>2</v>
      </c>
      <c r="I6" t="s">
        <v>5</v>
      </c>
      <c r="J6">
        <v>600</v>
      </c>
      <c r="K6">
        <v>4</v>
      </c>
      <c r="L6">
        <v>22</v>
      </c>
      <c r="M6">
        <v>0.06</v>
      </c>
      <c r="N6">
        <v>650000</v>
      </c>
      <c r="O6">
        <v>760</v>
      </c>
      <c r="P6">
        <v>0.77599052393341339</v>
      </c>
      <c r="Q6" s="11">
        <v>7.0948252702288829E-7</v>
      </c>
      <c r="R6" s="11">
        <v>25</v>
      </c>
      <c r="S6">
        <v>6.69</v>
      </c>
      <c r="T6">
        <v>0</v>
      </c>
      <c r="U6">
        <v>2.14</v>
      </c>
      <c r="V6">
        <v>0</v>
      </c>
      <c r="W6">
        <v>1.65</v>
      </c>
      <c r="X6">
        <v>2.11</v>
      </c>
      <c r="Y6">
        <v>2.1999999999999999E-2</v>
      </c>
      <c r="Z6">
        <v>2.5999999999999999E-2</v>
      </c>
      <c r="AA6">
        <v>0.12</v>
      </c>
      <c r="AB6">
        <v>3.9E-2</v>
      </c>
      <c r="AC6">
        <v>0.02</v>
      </c>
      <c r="AD6">
        <v>3.0999999999999999E-3</v>
      </c>
    </row>
    <row r="7" spans="1:30" x14ac:dyDescent="0.3">
      <c r="A7" t="s">
        <v>2</v>
      </c>
      <c r="B7" t="s">
        <v>3</v>
      </c>
      <c r="C7" t="s">
        <v>4</v>
      </c>
      <c r="D7">
        <v>25</v>
      </c>
      <c r="E7">
        <v>76</v>
      </c>
      <c r="F7">
        <v>2</v>
      </c>
      <c r="G7">
        <v>950</v>
      </c>
      <c r="H7">
        <v>2</v>
      </c>
      <c r="I7" t="s">
        <v>5</v>
      </c>
      <c r="J7">
        <v>600</v>
      </c>
      <c r="K7">
        <v>4</v>
      </c>
      <c r="L7">
        <v>116</v>
      </c>
      <c r="M7">
        <v>0.06</v>
      </c>
      <c r="N7">
        <v>300000</v>
      </c>
      <c r="O7">
        <v>800</v>
      </c>
      <c r="P7">
        <v>0.80989229894995984</v>
      </c>
      <c r="Q7" s="11">
        <v>7.1068446995952741E-7</v>
      </c>
      <c r="R7" s="11">
        <v>25</v>
      </c>
      <c r="S7">
        <v>6.69</v>
      </c>
      <c r="T7">
        <v>0</v>
      </c>
      <c r="U7">
        <v>2.14</v>
      </c>
      <c r="V7">
        <v>0</v>
      </c>
      <c r="W7">
        <v>1.65</v>
      </c>
      <c r="X7">
        <v>2.11</v>
      </c>
      <c r="Y7">
        <v>2.1999999999999999E-2</v>
      </c>
      <c r="Z7">
        <v>2.5999999999999999E-2</v>
      </c>
      <c r="AA7">
        <v>0.12</v>
      </c>
      <c r="AB7">
        <v>3.9E-2</v>
      </c>
      <c r="AC7">
        <v>0.02</v>
      </c>
      <c r="AD7">
        <v>3.0999999999999999E-3</v>
      </c>
    </row>
    <row r="8" spans="1:30" x14ac:dyDescent="0.3">
      <c r="A8" t="s">
        <v>2</v>
      </c>
      <c r="B8" t="s">
        <v>3</v>
      </c>
      <c r="C8" t="s">
        <v>4</v>
      </c>
      <c r="D8">
        <v>25</v>
      </c>
      <c r="E8">
        <v>76</v>
      </c>
      <c r="F8">
        <v>2</v>
      </c>
      <c r="G8">
        <v>950</v>
      </c>
      <c r="H8">
        <v>2</v>
      </c>
      <c r="I8" t="s">
        <v>5</v>
      </c>
      <c r="J8">
        <v>600</v>
      </c>
      <c r="K8">
        <v>4</v>
      </c>
      <c r="L8">
        <v>22</v>
      </c>
      <c r="M8">
        <v>0.06</v>
      </c>
      <c r="N8">
        <v>540000</v>
      </c>
      <c r="O8">
        <v>800</v>
      </c>
      <c r="P8">
        <v>0.77599052393341339</v>
      </c>
      <c r="Q8" s="11">
        <v>7.1068446995952741E-7</v>
      </c>
      <c r="R8" s="11">
        <v>25</v>
      </c>
      <c r="S8">
        <v>6.69</v>
      </c>
      <c r="T8">
        <v>0</v>
      </c>
      <c r="U8">
        <v>2.14</v>
      </c>
      <c r="V8">
        <v>0</v>
      </c>
      <c r="W8">
        <v>1.65</v>
      </c>
      <c r="X8">
        <v>2.11</v>
      </c>
      <c r="Y8">
        <v>2.1999999999999999E-2</v>
      </c>
      <c r="Z8">
        <v>2.5999999999999999E-2</v>
      </c>
      <c r="AA8">
        <v>0.12</v>
      </c>
      <c r="AB8">
        <v>3.9E-2</v>
      </c>
      <c r="AC8">
        <v>0.02</v>
      </c>
      <c r="AD8">
        <v>3.0999999999999999E-3</v>
      </c>
    </row>
    <row r="9" spans="1:30" x14ac:dyDescent="0.3">
      <c r="A9" t="s">
        <v>7</v>
      </c>
      <c r="B9" t="s">
        <v>8</v>
      </c>
      <c r="C9" t="s">
        <v>6</v>
      </c>
      <c r="D9">
        <v>25</v>
      </c>
      <c r="E9">
        <v>76</v>
      </c>
      <c r="F9">
        <v>2</v>
      </c>
      <c r="G9">
        <v>25</v>
      </c>
      <c r="H9">
        <v>1</v>
      </c>
      <c r="I9" t="s">
        <v>21</v>
      </c>
      <c r="J9">
        <v>25</v>
      </c>
      <c r="K9">
        <v>1</v>
      </c>
      <c r="L9">
        <v>70</v>
      </c>
      <c r="M9">
        <v>-1</v>
      </c>
      <c r="N9">
        <v>10000000</v>
      </c>
      <c r="O9">
        <v>340</v>
      </c>
      <c r="P9">
        <v>0.61625969192544583</v>
      </c>
      <c r="Q9" s="11">
        <v>6.9089756162128487E-7</v>
      </c>
      <c r="R9" s="11">
        <v>25</v>
      </c>
      <c r="S9">
        <v>6.75</v>
      </c>
      <c r="T9">
        <v>0</v>
      </c>
      <c r="U9">
        <v>0</v>
      </c>
      <c r="V9">
        <v>0</v>
      </c>
      <c r="W9">
        <v>0</v>
      </c>
      <c r="X9">
        <v>4.5</v>
      </c>
      <c r="Y9">
        <v>0</v>
      </c>
      <c r="Z9">
        <v>1.4999999999999999E-2</v>
      </c>
      <c r="AA9">
        <v>0.2</v>
      </c>
      <c r="AB9">
        <v>0.08</v>
      </c>
      <c r="AC9">
        <v>0.05</v>
      </c>
      <c r="AD9">
        <v>0.4</v>
      </c>
    </row>
    <row r="10" spans="1:30" x14ac:dyDescent="0.3">
      <c r="A10" t="s">
        <v>7</v>
      </c>
      <c r="B10" t="s">
        <v>8</v>
      </c>
      <c r="C10" t="s">
        <v>9</v>
      </c>
      <c r="D10">
        <v>25</v>
      </c>
      <c r="E10">
        <v>76</v>
      </c>
      <c r="F10">
        <v>2</v>
      </c>
      <c r="G10">
        <v>650</v>
      </c>
      <c r="H10">
        <v>3</v>
      </c>
      <c r="I10" t="s">
        <v>21</v>
      </c>
      <c r="J10">
        <v>25</v>
      </c>
      <c r="K10">
        <v>1</v>
      </c>
      <c r="L10">
        <v>70</v>
      </c>
      <c r="M10">
        <v>0.1</v>
      </c>
      <c r="N10">
        <v>10000000</v>
      </c>
      <c r="O10">
        <v>453</v>
      </c>
      <c r="P10">
        <v>0.61179755234275957</v>
      </c>
      <c r="Q10" s="11">
        <v>6.9747090598042519E-7</v>
      </c>
      <c r="R10" s="11">
        <v>25</v>
      </c>
      <c r="S10">
        <v>6.75</v>
      </c>
      <c r="T10">
        <v>0</v>
      </c>
      <c r="U10">
        <v>0</v>
      </c>
      <c r="V10">
        <v>0</v>
      </c>
      <c r="W10">
        <v>0</v>
      </c>
      <c r="X10">
        <v>4.5</v>
      </c>
      <c r="Y10">
        <v>0</v>
      </c>
      <c r="Z10">
        <v>1.4999999999999999E-2</v>
      </c>
      <c r="AA10">
        <v>0.2</v>
      </c>
      <c r="AB10">
        <v>0.08</v>
      </c>
      <c r="AC10">
        <v>0.05</v>
      </c>
      <c r="AD10">
        <v>0.4</v>
      </c>
    </row>
    <row r="11" spans="1:30" x14ac:dyDescent="0.3">
      <c r="A11" t="s">
        <v>7</v>
      </c>
      <c r="B11" t="s">
        <v>8</v>
      </c>
      <c r="C11" t="s">
        <v>4</v>
      </c>
      <c r="D11">
        <v>25</v>
      </c>
      <c r="E11">
        <v>76</v>
      </c>
      <c r="F11">
        <v>2</v>
      </c>
      <c r="G11">
        <v>950</v>
      </c>
      <c r="H11">
        <v>2</v>
      </c>
      <c r="I11" t="s">
        <v>5</v>
      </c>
      <c r="J11">
        <v>600</v>
      </c>
      <c r="K11">
        <v>4</v>
      </c>
      <c r="L11">
        <v>70</v>
      </c>
      <c r="M11">
        <v>-1</v>
      </c>
      <c r="N11">
        <v>10000000</v>
      </c>
      <c r="O11">
        <v>340</v>
      </c>
      <c r="P11">
        <v>0.69469507889398208</v>
      </c>
      <c r="Q11" s="11">
        <v>6.9089756162128487E-7</v>
      </c>
      <c r="R11" s="11">
        <v>25</v>
      </c>
      <c r="S11">
        <v>6.75</v>
      </c>
      <c r="T11">
        <v>0</v>
      </c>
      <c r="U11">
        <v>0</v>
      </c>
      <c r="V11">
        <v>0</v>
      </c>
      <c r="W11">
        <v>0</v>
      </c>
      <c r="X11">
        <v>4.5</v>
      </c>
      <c r="Y11">
        <v>0</v>
      </c>
      <c r="Z11">
        <v>1.4999999999999999E-2</v>
      </c>
      <c r="AA11">
        <v>0.2</v>
      </c>
      <c r="AB11">
        <v>0.08</v>
      </c>
      <c r="AC11">
        <v>0.05</v>
      </c>
      <c r="AD11">
        <v>0.4</v>
      </c>
    </row>
    <row r="12" spans="1:30" x14ac:dyDescent="0.3">
      <c r="A12" t="s">
        <v>7</v>
      </c>
      <c r="B12" t="s">
        <v>10</v>
      </c>
      <c r="C12" t="s">
        <v>6</v>
      </c>
      <c r="D12">
        <v>25</v>
      </c>
      <c r="E12">
        <v>76</v>
      </c>
      <c r="F12">
        <v>2</v>
      </c>
      <c r="G12">
        <v>25</v>
      </c>
      <c r="H12">
        <v>1</v>
      </c>
      <c r="I12" t="s">
        <v>21</v>
      </c>
      <c r="J12">
        <v>25</v>
      </c>
      <c r="K12">
        <v>1</v>
      </c>
      <c r="L12">
        <v>70</v>
      </c>
      <c r="M12">
        <v>-1</v>
      </c>
      <c r="N12">
        <v>10000000</v>
      </c>
      <c r="O12">
        <v>464</v>
      </c>
      <c r="P12">
        <v>0.61625969192544583</v>
      </c>
      <c r="Q12" s="11">
        <v>6.9802334729666484E-7</v>
      </c>
      <c r="R12" s="11">
        <v>25</v>
      </c>
      <c r="S12">
        <v>6.75</v>
      </c>
      <c r="T12">
        <v>0</v>
      </c>
      <c r="U12">
        <v>0</v>
      </c>
      <c r="V12">
        <v>0</v>
      </c>
      <c r="W12">
        <v>0</v>
      </c>
      <c r="X12">
        <v>4.5</v>
      </c>
      <c r="Y12">
        <v>0</v>
      </c>
      <c r="Z12">
        <v>1.4999999999999999E-2</v>
      </c>
      <c r="AA12">
        <v>0.2</v>
      </c>
      <c r="AB12">
        <v>0.08</v>
      </c>
      <c r="AC12">
        <v>0.05</v>
      </c>
      <c r="AD12">
        <v>0.4</v>
      </c>
    </row>
    <row r="13" spans="1:30" x14ac:dyDescent="0.3">
      <c r="A13" t="s">
        <v>7</v>
      </c>
      <c r="B13" t="s">
        <v>11</v>
      </c>
      <c r="C13" t="s">
        <v>9</v>
      </c>
      <c r="D13">
        <v>25</v>
      </c>
      <c r="E13">
        <v>76</v>
      </c>
      <c r="F13">
        <v>2</v>
      </c>
      <c r="G13">
        <v>600</v>
      </c>
      <c r="H13">
        <v>1</v>
      </c>
      <c r="I13" t="s">
        <v>21</v>
      </c>
      <c r="J13">
        <v>25</v>
      </c>
      <c r="K13">
        <v>1</v>
      </c>
      <c r="L13">
        <v>70</v>
      </c>
      <c r="M13">
        <v>0.1</v>
      </c>
      <c r="N13">
        <v>10000000</v>
      </c>
      <c r="O13">
        <v>388</v>
      </c>
      <c r="P13">
        <v>0.61625969192544583</v>
      </c>
      <c r="Q13" s="11">
        <v>6.9391504331182774E-7</v>
      </c>
      <c r="R13" s="11">
        <v>25</v>
      </c>
      <c r="S13">
        <v>6.75</v>
      </c>
      <c r="T13">
        <v>0</v>
      </c>
      <c r="U13">
        <v>0</v>
      </c>
      <c r="V13">
        <v>0</v>
      </c>
      <c r="W13">
        <v>0</v>
      </c>
      <c r="X13">
        <v>4.5</v>
      </c>
      <c r="Y13">
        <v>0</v>
      </c>
      <c r="Z13">
        <v>1.4999999999999999E-2</v>
      </c>
      <c r="AA13">
        <v>0.2</v>
      </c>
      <c r="AB13">
        <v>0.08</v>
      </c>
      <c r="AC13">
        <v>0.05</v>
      </c>
      <c r="AD13">
        <v>0.4</v>
      </c>
    </row>
    <row r="14" spans="1:30" x14ac:dyDescent="0.3">
      <c r="A14" t="s">
        <v>7</v>
      </c>
      <c r="B14" t="s">
        <v>12</v>
      </c>
      <c r="C14" t="s">
        <v>13</v>
      </c>
      <c r="D14">
        <v>920</v>
      </c>
      <c r="E14">
        <v>103</v>
      </c>
      <c r="F14">
        <v>2</v>
      </c>
      <c r="G14">
        <v>25</v>
      </c>
      <c r="H14">
        <v>1</v>
      </c>
      <c r="I14" t="s">
        <v>21</v>
      </c>
      <c r="J14">
        <v>25</v>
      </c>
      <c r="K14">
        <v>1</v>
      </c>
      <c r="L14">
        <v>70</v>
      </c>
      <c r="M14">
        <v>0.1</v>
      </c>
      <c r="N14">
        <v>1000000</v>
      </c>
      <c r="O14">
        <v>500</v>
      </c>
      <c r="P14">
        <v>0.61179755234275957</v>
      </c>
      <c r="Q14" s="11">
        <v>6.9974671095948523E-7</v>
      </c>
      <c r="R14" s="11">
        <v>25</v>
      </c>
      <c r="S14">
        <v>6.75</v>
      </c>
      <c r="T14">
        <v>0</v>
      </c>
      <c r="U14">
        <v>0</v>
      </c>
      <c r="V14">
        <v>0</v>
      </c>
      <c r="W14">
        <v>0</v>
      </c>
      <c r="X14">
        <v>4.5</v>
      </c>
      <c r="Y14">
        <v>0</v>
      </c>
      <c r="Z14">
        <v>1.4999999999999999E-2</v>
      </c>
      <c r="AA14">
        <v>0.2</v>
      </c>
      <c r="AB14">
        <v>0.08</v>
      </c>
      <c r="AC14">
        <v>0.05</v>
      </c>
      <c r="AD14">
        <v>0.4</v>
      </c>
    </row>
    <row r="15" spans="1:30" x14ac:dyDescent="0.3">
      <c r="A15" t="s">
        <v>7</v>
      </c>
      <c r="B15" t="s">
        <v>14</v>
      </c>
      <c r="C15" t="s">
        <v>9</v>
      </c>
      <c r="D15">
        <v>25</v>
      </c>
      <c r="E15">
        <v>76</v>
      </c>
      <c r="F15">
        <v>2</v>
      </c>
      <c r="G15">
        <v>730</v>
      </c>
      <c r="H15">
        <v>2</v>
      </c>
      <c r="I15" t="s">
        <v>21</v>
      </c>
      <c r="J15">
        <v>25</v>
      </c>
      <c r="K15">
        <v>1</v>
      </c>
      <c r="L15">
        <v>70</v>
      </c>
      <c r="M15">
        <v>0.01</v>
      </c>
      <c r="N15">
        <v>1000000</v>
      </c>
      <c r="O15">
        <v>482</v>
      </c>
      <c r="P15">
        <v>0.61625969192544583</v>
      </c>
      <c r="Q15" s="11">
        <v>6.989005913459576E-7</v>
      </c>
      <c r="R15" s="11">
        <v>25</v>
      </c>
      <c r="S15">
        <v>6.75</v>
      </c>
      <c r="T15">
        <v>0</v>
      </c>
      <c r="U15">
        <v>0</v>
      </c>
      <c r="V15">
        <v>0</v>
      </c>
      <c r="W15">
        <v>0</v>
      </c>
      <c r="X15">
        <v>4.5</v>
      </c>
      <c r="Y15">
        <v>0</v>
      </c>
      <c r="Z15">
        <v>1.4999999999999999E-2</v>
      </c>
      <c r="AA15">
        <v>0.2</v>
      </c>
      <c r="AB15">
        <v>0.08</v>
      </c>
      <c r="AC15">
        <v>0.05</v>
      </c>
      <c r="AD15">
        <v>0.4</v>
      </c>
    </row>
    <row r="16" spans="1:30" x14ac:dyDescent="0.3">
      <c r="A16" t="s">
        <v>7</v>
      </c>
      <c r="B16" t="s">
        <v>8</v>
      </c>
      <c r="C16" t="s">
        <v>9</v>
      </c>
      <c r="D16">
        <v>25</v>
      </c>
      <c r="E16">
        <v>76</v>
      </c>
      <c r="F16">
        <v>2</v>
      </c>
      <c r="G16">
        <v>500</v>
      </c>
      <c r="H16">
        <v>2</v>
      </c>
      <c r="I16" t="s">
        <v>21</v>
      </c>
      <c r="J16">
        <v>25</v>
      </c>
      <c r="K16">
        <v>1</v>
      </c>
      <c r="L16">
        <v>70</v>
      </c>
      <c r="M16">
        <v>0.1</v>
      </c>
      <c r="N16">
        <v>5000000</v>
      </c>
      <c r="O16">
        <v>155</v>
      </c>
      <c r="P16">
        <v>0.61625969192544583</v>
      </c>
      <c r="Q16" s="11">
        <v>6.7321812774973763E-7</v>
      </c>
      <c r="R16" s="11">
        <v>25</v>
      </c>
      <c r="S16">
        <v>6.75</v>
      </c>
      <c r="T16">
        <v>0</v>
      </c>
      <c r="U16">
        <v>0</v>
      </c>
      <c r="V16">
        <v>0</v>
      </c>
      <c r="W16">
        <v>0</v>
      </c>
      <c r="X16">
        <v>4.5</v>
      </c>
      <c r="Y16">
        <v>0</v>
      </c>
      <c r="Z16">
        <v>1.4999999999999999E-2</v>
      </c>
      <c r="AA16">
        <v>0.2</v>
      </c>
      <c r="AB16">
        <v>0.08</v>
      </c>
      <c r="AC16">
        <v>0.05</v>
      </c>
      <c r="AD16">
        <v>0.4</v>
      </c>
    </row>
    <row r="17" spans="1:30" x14ac:dyDescent="0.3">
      <c r="A17" t="s">
        <v>7</v>
      </c>
      <c r="B17" t="s">
        <v>8</v>
      </c>
      <c r="C17" t="s">
        <v>13</v>
      </c>
      <c r="D17">
        <v>900</v>
      </c>
      <c r="E17">
        <v>120</v>
      </c>
      <c r="F17">
        <v>2</v>
      </c>
      <c r="G17">
        <v>25</v>
      </c>
      <c r="H17">
        <v>1</v>
      </c>
      <c r="I17" t="s">
        <v>21</v>
      </c>
      <c r="J17">
        <v>25</v>
      </c>
      <c r="K17">
        <v>1</v>
      </c>
      <c r="L17">
        <v>70</v>
      </c>
      <c r="M17">
        <v>0.1</v>
      </c>
      <c r="N17">
        <v>5000000</v>
      </c>
      <c r="O17">
        <v>265</v>
      </c>
      <c r="P17">
        <v>0.61179755234275957</v>
      </c>
      <c r="Q17" s="11">
        <v>6.8523883730212022E-7</v>
      </c>
      <c r="R17" s="11">
        <v>25</v>
      </c>
      <c r="S17">
        <v>6.75</v>
      </c>
      <c r="T17">
        <v>0</v>
      </c>
      <c r="U17">
        <v>0</v>
      </c>
      <c r="V17">
        <v>0</v>
      </c>
      <c r="W17">
        <v>0</v>
      </c>
      <c r="X17">
        <v>4.5</v>
      </c>
      <c r="Y17">
        <v>0</v>
      </c>
      <c r="Z17">
        <v>1.4999999999999999E-2</v>
      </c>
      <c r="AA17">
        <v>0.2</v>
      </c>
      <c r="AB17">
        <v>0.08</v>
      </c>
      <c r="AC17">
        <v>0.05</v>
      </c>
      <c r="AD17">
        <v>0.4</v>
      </c>
    </row>
    <row r="18" spans="1:30" x14ac:dyDescent="0.3">
      <c r="A18" t="s">
        <v>7</v>
      </c>
      <c r="B18" t="s">
        <v>8</v>
      </c>
      <c r="C18" t="s">
        <v>13</v>
      </c>
      <c r="D18">
        <v>900</v>
      </c>
      <c r="E18">
        <v>120</v>
      </c>
      <c r="F18">
        <v>2</v>
      </c>
      <c r="G18">
        <v>25</v>
      </c>
      <c r="H18">
        <v>1</v>
      </c>
      <c r="I18" t="s">
        <v>21</v>
      </c>
      <c r="J18">
        <v>25</v>
      </c>
      <c r="K18">
        <v>1</v>
      </c>
      <c r="L18">
        <v>70</v>
      </c>
      <c r="M18">
        <v>0.1</v>
      </c>
      <c r="N18">
        <v>10000000</v>
      </c>
      <c r="O18">
        <v>430</v>
      </c>
      <c r="P18">
        <v>0.61625969192544583</v>
      </c>
      <c r="Q18" s="11">
        <v>6.9627261559342036E-7</v>
      </c>
      <c r="R18" s="11">
        <v>25</v>
      </c>
      <c r="S18">
        <v>6.75</v>
      </c>
      <c r="T18">
        <v>0</v>
      </c>
      <c r="U18">
        <v>0</v>
      </c>
      <c r="V18">
        <v>0</v>
      </c>
      <c r="W18">
        <v>0</v>
      </c>
      <c r="X18">
        <v>4.5</v>
      </c>
      <c r="Y18">
        <v>0</v>
      </c>
      <c r="Z18">
        <v>1.4999999999999999E-2</v>
      </c>
      <c r="AA18">
        <v>0.2</v>
      </c>
      <c r="AB18">
        <v>0.08</v>
      </c>
      <c r="AC18">
        <v>0.05</v>
      </c>
      <c r="AD18">
        <v>0.4</v>
      </c>
    </row>
    <row r="19" spans="1:30" x14ac:dyDescent="0.3">
      <c r="A19" t="s">
        <v>7</v>
      </c>
      <c r="B19" t="s">
        <v>14</v>
      </c>
      <c r="C19" t="s">
        <v>9</v>
      </c>
      <c r="D19">
        <v>25</v>
      </c>
      <c r="E19">
        <v>76</v>
      </c>
      <c r="F19">
        <v>2</v>
      </c>
      <c r="G19">
        <v>700</v>
      </c>
      <c r="H19">
        <v>1</v>
      </c>
      <c r="I19" t="s">
        <v>21</v>
      </c>
      <c r="J19">
        <v>25</v>
      </c>
      <c r="K19">
        <v>1</v>
      </c>
      <c r="L19">
        <v>70</v>
      </c>
      <c r="M19">
        <v>-1</v>
      </c>
      <c r="N19">
        <v>10000000</v>
      </c>
      <c r="O19">
        <v>370</v>
      </c>
      <c r="P19">
        <v>0.61179755234275957</v>
      </c>
      <c r="Q19" s="11">
        <v>6.9282813016766237E-7</v>
      </c>
      <c r="R19" s="11">
        <v>25</v>
      </c>
      <c r="S19">
        <v>6.75</v>
      </c>
      <c r="T19">
        <v>0</v>
      </c>
      <c r="U19">
        <v>0</v>
      </c>
      <c r="V19">
        <v>0</v>
      </c>
      <c r="W19">
        <v>0</v>
      </c>
      <c r="X19">
        <v>4.5</v>
      </c>
      <c r="Y19">
        <v>0</v>
      </c>
      <c r="Z19">
        <v>1.4999999999999999E-2</v>
      </c>
      <c r="AA19">
        <v>0.2</v>
      </c>
      <c r="AB19">
        <v>0.08</v>
      </c>
      <c r="AC19">
        <v>0.05</v>
      </c>
      <c r="AD19">
        <v>0.4</v>
      </c>
    </row>
    <row r="20" spans="1:30" x14ac:dyDescent="0.3">
      <c r="A20" t="s">
        <v>7</v>
      </c>
      <c r="B20" t="s">
        <v>8</v>
      </c>
      <c r="C20" t="s">
        <v>9</v>
      </c>
      <c r="D20">
        <v>25</v>
      </c>
      <c r="E20">
        <v>76</v>
      </c>
      <c r="F20">
        <v>2</v>
      </c>
      <c r="G20">
        <v>800</v>
      </c>
      <c r="H20">
        <v>2</v>
      </c>
      <c r="I20" t="s">
        <v>21</v>
      </c>
      <c r="J20">
        <v>25</v>
      </c>
      <c r="K20">
        <v>1</v>
      </c>
      <c r="L20">
        <v>70</v>
      </c>
      <c r="M20">
        <v>-1</v>
      </c>
      <c r="N20">
        <v>10000000</v>
      </c>
      <c r="O20">
        <v>580</v>
      </c>
      <c r="P20">
        <v>0.61625969192544583</v>
      </c>
      <c r="Q20" s="11">
        <v>7.0318237934689411E-7</v>
      </c>
      <c r="R20" s="11">
        <v>25</v>
      </c>
      <c r="S20">
        <v>6.75</v>
      </c>
      <c r="T20">
        <v>0</v>
      </c>
      <c r="U20">
        <v>0</v>
      </c>
      <c r="V20">
        <v>0</v>
      </c>
      <c r="W20">
        <v>0</v>
      </c>
      <c r="X20">
        <v>4.5</v>
      </c>
      <c r="Y20">
        <v>0</v>
      </c>
      <c r="Z20">
        <v>1.4999999999999999E-2</v>
      </c>
      <c r="AA20">
        <v>0.2</v>
      </c>
      <c r="AB20">
        <v>0.08</v>
      </c>
      <c r="AC20">
        <v>0.05</v>
      </c>
      <c r="AD20">
        <v>0.4</v>
      </c>
    </row>
    <row r="21" spans="1:30" x14ac:dyDescent="0.3">
      <c r="A21" t="s">
        <v>7</v>
      </c>
      <c r="B21" t="s">
        <v>8</v>
      </c>
      <c r="C21" t="s">
        <v>13</v>
      </c>
      <c r="D21">
        <v>920</v>
      </c>
      <c r="E21">
        <v>100</v>
      </c>
      <c r="F21">
        <v>2</v>
      </c>
      <c r="G21">
        <v>25</v>
      </c>
      <c r="H21">
        <v>1</v>
      </c>
      <c r="I21" t="s">
        <v>21</v>
      </c>
      <c r="J21">
        <v>25</v>
      </c>
      <c r="K21">
        <v>1</v>
      </c>
      <c r="L21">
        <v>70</v>
      </c>
      <c r="M21">
        <v>0.2</v>
      </c>
      <c r="N21">
        <v>200000</v>
      </c>
      <c r="O21">
        <v>100</v>
      </c>
      <c r="P21">
        <v>0.61625969192544583</v>
      </c>
      <c r="Q21" s="11">
        <v>6.6355183676397996E-7</v>
      </c>
      <c r="R21" s="11">
        <v>25</v>
      </c>
      <c r="S21">
        <v>6.75</v>
      </c>
      <c r="T21">
        <v>0</v>
      </c>
      <c r="U21">
        <v>0</v>
      </c>
      <c r="V21">
        <v>0</v>
      </c>
      <c r="W21">
        <v>0</v>
      </c>
      <c r="X21">
        <v>4.5</v>
      </c>
      <c r="Y21">
        <v>0</v>
      </c>
      <c r="Z21">
        <v>1.4999999999999999E-2</v>
      </c>
      <c r="AA21">
        <v>0.2</v>
      </c>
      <c r="AB21">
        <v>0.08</v>
      </c>
      <c r="AC21">
        <v>0.05</v>
      </c>
      <c r="AD21">
        <v>0.4</v>
      </c>
    </row>
    <row r="22" spans="1:30" x14ac:dyDescent="0.3">
      <c r="A22" t="s">
        <v>7</v>
      </c>
      <c r="B22" t="s">
        <v>16</v>
      </c>
      <c r="C22" t="s">
        <v>6</v>
      </c>
      <c r="D22">
        <v>25</v>
      </c>
      <c r="E22">
        <v>76</v>
      </c>
      <c r="F22">
        <v>2</v>
      </c>
      <c r="G22">
        <v>25</v>
      </c>
      <c r="H22">
        <v>1</v>
      </c>
      <c r="I22" t="s">
        <v>21</v>
      </c>
      <c r="J22">
        <v>25</v>
      </c>
      <c r="K22">
        <v>1</v>
      </c>
      <c r="L22">
        <v>70</v>
      </c>
      <c r="M22">
        <v>-1</v>
      </c>
      <c r="N22">
        <v>10000000</v>
      </c>
      <c r="O22">
        <v>88</v>
      </c>
      <c r="P22">
        <v>0.61625969192544583</v>
      </c>
      <c r="Q22" s="11">
        <v>6.6075853841333952E-7</v>
      </c>
      <c r="R22" s="11">
        <v>25</v>
      </c>
      <c r="S22">
        <v>6.75</v>
      </c>
      <c r="T22">
        <v>0</v>
      </c>
      <c r="U22">
        <v>0</v>
      </c>
      <c r="V22">
        <v>0</v>
      </c>
      <c r="W22">
        <v>0</v>
      </c>
      <c r="X22">
        <v>4.5</v>
      </c>
      <c r="Y22">
        <v>0</v>
      </c>
      <c r="Z22">
        <v>1.4999999999999999E-2</v>
      </c>
      <c r="AA22">
        <v>0.2</v>
      </c>
      <c r="AB22">
        <v>0.08</v>
      </c>
      <c r="AC22">
        <v>0.05</v>
      </c>
      <c r="AD22">
        <v>0.4</v>
      </c>
    </row>
    <row r="23" spans="1:30" x14ac:dyDescent="0.3">
      <c r="A23" t="s">
        <v>7</v>
      </c>
      <c r="B23" t="s">
        <v>8</v>
      </c>
      <c r="C23" t="s">
        <v>17</v>
      </c>
      <c r="D23">
        <v>920</v>
      </c>
      <c r="E23">
        <v>103</v>
      </c>
      <c r="F23">
        <v>2</v>
      </c>
      <c r="G23">
        <v>700</v>
      </c>
      <c r="H23">
        <v>1</v>
      </c>
      <c r="I23" t="s">
        <v>21</v>
      </c>
      <c r="J23">
        <v>25</v>
      </c>
      <c r="K23">
        <v>1</v>
      </c>
      <c r="L23">
        <v>70</v>
      </c>
      <c r="M23">
        <v>-1</v>
      </c>
      <c r="N23">
        <v>10000000</v>
      </c>
      <c r="O23">
        <v>250</v>
      </c>
      <c r="P23">
        <v>0.61625969192544583</v>
      </c>
      <c r="Q23" s="11">
        <v>6.8392247538457671E-7</v>
      </c>
      <c r="R23" s="11">
        <v>25</v>
      </c>
      <c r="S23">
        <v>6.75</v>
      </c>
      <c r="T23">
        <v>0</v>
      </c>
      <c r="U23">
        <v>0</v>
      </c>
      <c r="V23">
        <v>0</v>
      </c>
      <c r="W23">
        <v>0</v>
      </c>
      <c r="X23">
        <v>4.5</v>
      </c>
      <c r="Y23">
        <v>0</v>
      </c>
      <c r="Z23">
        <v>1.4999999999999999E-2</v>
      </c>
      <c r="AA23">
        <v>0.2</v>
      </c>
      <c r="AB23">
        <v>0.08</v>
      </c>
      <c r="AC23">
        <v>0.05</v>
      </c>
      <c r="AD23">
        <v>0.4</v>
      </c>
    </row>
    <row r="24" spans="1:30" x14ac:dyDescent="0.3">
      <c r="A24" t="s">
        <v>7</v>
      </c>
      <c r="B24" t="s">
        <v>8</v>
      </c>
      <c r="C24" t="s">
        <v>18</v>
      </c>
      <c r="D24">
        <v>920</v>
      </c>
      <c r="E24">
        <v>103</v>
      </c>
      <c r="F24">
        <v>2</v>
      </c>
      <c r="G24">
        <v>800</v>
      </c>
      <c r="H24">
        <v>2</v>
      </c>
      <c r="I24" t="s">
        <v>21</v>
      </c>
      <c r="J24">
        <v>25</v>
      </c>
      <c r="K24">
        <v>1</v>
      </c>
      <c r="L24">
        <v>70</v>
      </c>
      <c r="M24">
        <v>-1</v>
      </c>
      <c r="N24">
        <v>10000000</v>
      </c>
      <c r="O24">
        <v>420</v>
      </c>
      <c r="P24">
        <v>0.61179755234275957</v>
      </c>
      <c r="Q24" s="11">
        <v>6.957321652998617E-7</v>
      </c>
      <c r="R24" s="11">
        <v>25</v>
      </c>
      <c r="S24">
        <v>6.75</v>
      </c>
      <c r="T24">
        <v>0</v>
      </c>
      <c r="U24">
        <v>0</v>
      </c>
      <c r="V24">
        <v>0</v>
      </c>
      <c r="W24">
        <v>0</v>
      </c>
      <c r="X24">
        <v>4.5</v>
      </c>
      <c r="Y24">
        <v>0</v>
      </c>
      <c r="Z24">
        <v>1.4999999999999999E-2</v>
      </c>
      <c r="AA24">
        <v>0.2</v>
      </c>
      <c r="AB24">
        <v>0.08</v>
      </c>
      <c r="AC24">
        <v>0.05</v>
      </c>
      <c r="AD24">
        <v>0.4</v>
      </c>
    </row>
    <row r="25" spans="1:30" x14ac:dyDescent="0.3">
      <c r="A25" t="s">
        <v>7</v>
      </c>
      <c r="B25" t="s">
        <v>8</v>
      </c>
      <c r="C25" t="s">
        <v>6</v>
      </c>
      <c r="D25">
        <v>25</v>
      </c>
      <c r="E25">
        <v>76</v>
      </c>
      <c r="F25">
        <v>2</v>
      </c>
      <c r="G25">
        <v>25</v>
      </c>
      <c r="H25">
        <v>1</v>
      </c>
      <c r="I25" t="s">
        <v>21</v>
      </c>
      <c r="J25">
        <v>25</v>
      </c>
      <c r="K25">
        <v>1</v>
      </c>
      <c r="L25">
        <v>70</v>
      </c>
      <c r="M25">
        <v>-1</v>
      </c>
      <c r="N25">
        <v>10000000</v>
      </c>
      <c r="O25">
        <v>410</v>
      </c>
      <c r="P25">
        <v>0.61625969192544583</v>
      </c>
      <c r="Q25" s="11">
        <v>6.951791256455108E-7</v>
      </c>
      <c r="R25" s="11">
        <v>25</v>
      </c>
      <c r="S25">
        <v>6.75</v>
      </c>
      <c r="T25">
        <v>0</v>
      </c>
      <c r="U25">
        <v>0</v>
      </c>
      <c r="V25">
        <v>0</v>
      </c>
      <c r="W25">
        <v>0</v>
      </c>
      <c r="X25">
        <v>4.5</v>
      </c>
      <c r="Y25">
        <v>0</v>
      </c>
      <c r="Z25">
        <v>1.4999999999999999E-2</v>
      </c>
      <c r="AA25">
        <v>0.2</v>
      </c>
      <c r="AB25">
        <v>0.08</v>
      </c>
      <c r="AC25">
        <v>0.05</v>
      </c>
      <c r="AD25">
        <v>0.4</v>
      </c>
    </row>
    <row r="26" spans="1:30" x14ac:dyDescent="0.3">
      <c r="A26" t="s">
        <v>7</v>
      </c>
      <c r="B26" t="s">
        <v>16</v>
      </c>
      <c r="C26" t="s">
        <v>6</v>
      </c>
      <c r="D26">
        <v>25</v>
      </c>
      <c r="E26">
        <v>76</v>
      </c>
      <c r="F26">
        <v>2</v>
      </c>
      <c r="G26">
        <v>25</v>
      </c>
      <c r="H26">
        <v>1</v>
      </c>
      <c r="I26" t="s">
        <v>21</v>
      </c>
      <c r="J26">
        <v>25</v>
      </c>
      <c r="K26">
        <v>1</v>
      </c>
      <c r="L26">
        <v>70</v>
      </c>
      <c r="M26">
        <v>-1</v>
      </c>
      <c r="N26">
        <v>10000000</v>
      </c>
      <c r="O26">
        <v>200</v>
      </c>
      <c r="P26">
        <v>0.61179755234275957</v>
      </c>
      <c r="Q26" s="11">
        <v>6.7890474730433336E-7</v>
      </c>
      <c r="R26" s="11">
        <v>25</v>
      </c>
      <c r="S26">
        <v>6.75</v>
      </c>
      <c r="T26">
        <v>0</v>
      </c>
      <c r="U26">
        <v>0</v>
      </c>
      <c r="V26">
        <v>0</v>
      </c>
      <c r="W26">
        <v>0</v>
      </c>
      <c r="X26">
        <v>4.5</v>
      </c>
      <c r="Y26">
        <v>0</v>
      </c>
      <c r="Z26">
        <v>1.4999999999999999E-2</v>
      </c>
      <c r="AA26">
        <v>0.2</v>
      </c>
      <c r="AB26">
        <v>0.08</v>
      </c>
      <c r="AC26">
        <v>0.05</v>
      </c>
      <c r="AD26">
        <v>0.4</v>
      </c>
    </row>
    <row r="27" spans="1:30" x14ac:dyDescent="0.3">
      <c r="A27" t="s">
        <v>7</v>
      </c>
      <c r="B27" t="s">
        <v>8</v>
      </c>
      <c r="C27" t="s">
        <v>4</v>
      </c>
      <c r="D27">
        <v>25</v>
      </c>
      <c r="E27">
        <v>76</v>
      </c>
      <c r="F27">
        <v>2</v>
      </c>
      <c r="G27">
        <v>920</v>
      </c>
      <c r="H27">
        <v>2</v>
      </c>
      <c r="I27" t="s">
        <v>5</v>
      </c>
      <c r="J27">
        <v>670</v>
      </c>
      <c r="K27">
        <v>4</v>
      </c>
      <c r="L27">
        <v>70</v>
      </c>
      <c r="M27">
        <v>-1</v>
      </c>
      <c r="N27">
        <v>10000000</v>
      </c>
      <c r="O27">
        <v>350</v>
      </c>
      <c r="P27">
        <v>0.5859424772788725</v>
      </c>
      <c r="Q27" s="11">
        <v>6.9155878264107028E-7</v>
      </c>
      <c r="R27" s="11">
        <v>25</v>
      </c>
      <c r="S27">
        <v>6.75</v>
      </c>
      <c r="T27">
        <v>0</v>
      </c>
      <c r="U27">
        <v>0</v>
      </c>
      <c r="V27">
        <v>0</v>
      </c>
      <c r="W27">
        <v>0</v>
      </c>
      <c r="X27">
        <v>4.5</v>
      </c>
      <c r="Y27">
        <v>0</v>
      </c>
      <c r="Z27">
        <v>1.4999999999999999E-2</v>
      </c>
      <c r="AA27">
        <v>0.2</v>
      </c>
      <c r="AB27">
        <v>0.08</v>
      </c>
      <c r="AC27">
        <v>0.05</v>
      </c>
      <c r="AD27">
        <v>0.4</v>
      </c>
    </row>
    <row r="28" spans="1:30" x14ac:dyDescent="0.3">
      <c r="A28" t="s">
        <v>7</v>
      </c>
      <c r="B28" t="s">
        <v>8</v>
      </c>
      <c r="C28" t="s">
        <v>9</v>
      </c>
      <c r="D28">
        <v>900</v>
      </c>
      <c r="E28">
        <v>200</v>
      </c>
      <c r="F28">
        <v>1</v>
      </c>
      <c r="G28">
        <v>25</v>
      </c>
      <c r="H28">
        <v>2</v>
      </c>
      <c r="I28" t="s">
        <v>21</v>
      </c>
      <c r="J28">
        <v>670</v>
      </c>
      <c r="K28">
        <v>4</v>
      </c>
      <c r="L28">
        <v>70</v>
      </c>
      <c r="M28">
        <v>0.1</v>
      </c>
      <c r="N28">
        <v>10000000</v>
      </c>
      <c r="O28">
        <v>100</v>
      </c>
      <c r="P28">
        <v>0.5859424772788725</v>
      </c>
      <c r="Q28" s="11">
        <v>6.6355183676397996E-7</v>
      </c>
      <c r="R28" s="11">
        <v>25</v>
      </c>
      <c r="S28">
        <v>6.75</v>
      </c>
      <c r="T28">
        <v>0</v>
      </c>
      <c r="U28">
        <v>0</v>
      </c>
      <c r="V28">
        <v>0</v>
      </c>
      <c r="W28">
        <v>0</v>
      </c>
      <c r="X28">
        <v>4.5</v>
      </c>
      <c r="Y28">
        <v>0</v>
      </c>
      <c r="Z28">
        <v>1.4999999999999999E-2</v>
      </c>
      <c r="AA28">
        <v>0.2</v>
      </c>
      <c r="AB28">
        <v>0.08</v>
      </c>
      <c r="AC28">
        <v>0.05</v>
      </c>
      <c r="AD28">
        <v>0.4</v>
      </c>
    </row>
    <row r="29" spans="1:30" x14ac:dyDescent="0.3">
      <c r="A29" t="s">
        <v>7</v>
      </c>
      <c r="B29" t="s">
        <v>8</v>
      </c>
      <c r="C29" t="s">
        <v>9</v>
      </c>
      <c r="D29">
        <v>900</v>
      </c>
      <c r="E29">
        <v>200</v>
      </c>
      <c r="F29">
        <v>1</v>
      </c>
      <c r="G29">
        <v>25</v>
      </c>
      <c r="H29">
        <v>2</v>
      </c>
      <c r="I29" t="s">
        <v>21</v>
      </c>
      <c r="J29">
        <v>670</v>
      </c>
      <c r="K29">
        <v>4</v>
      </c>
      <c r="L29">
        <v>70</v>
      </c>
      <c r="M29">
        <v>0.1</v>
      </c>
      <c r="N29">
        <v>10000000</v>
      </c>
      <c r="O29">
        <v>60</v>
      </c>
      <c r="P29">
        <v>0.5859424772788725</v>
      </c>
      <c r="Q29" s="11">
        <v>6.5245993263099976E-7</v>
      </c>
      <c r="R29" s="11">
        <v>25</v>
      </c>
      <c r="S29">
        <v>6.75</v>
      </c>
      <c r="T29">
        <v>0</v>
      </c>
      <c r="U29">
        <v>0</v>
      </c>
      <c r="V29">
        <v>0</v>
      </c>
      <c r="W29">
        <v>0</v>
      </c>
      <c r="X29">
        <v>4.5</v>
      </c>
      <c r="Y29">
        <v>0</v>
      </c>
      <c r="Z29">
        <v>1.4999999999999999E-2</v>
      </c>
      <c r="AA29">
        <v>0.2</v>
      </c>
      <c r="AB29">
        <v>0.08</v>
      </c>
      <c r="AC29">
        <v>0.05</v>
      </c>
      <c r="AD29">
        <v>0.4</v>
      </c>
    </row>
    <row r="30" spans="1:30" x14ac:dyDescent="0.3">
      <c r="A30" t="s">
        <v>7</v>
      </c>
      <c r="B30" t="s">
        <v>16</v>
      </c>
      <c r="C30" t="s">
        <v>9</v>
      </c>
      <c r="D30">
        <v>25</v>
      </c>
      <c r="E30">
        <v>76</v>
      </c>
      <c r="F30">
        <v>1</v>
      </c>
      <c r="G30">
        <v>650</v>
      </c>
      <c r="H30">
        <v>2</v>
      </c>
      <c r="I30" t="s">
        <v>21</v>
      </c>
      <c r="J30">
        <v>25</v>
      </c>
      <c r="K30">
        <v>1</v>
      </c>
      <c r="L30">
        <v>70</v>
      </c>
      <c r="M30">
        <v>0.1</v>
      </c>
      <c r="N30">
        <v>10000000</v>
      </c>
      <c r="O30">
        <v>250</v>
      </c>
      <c r="P30">
        <v>0.61625969192544583</v>
      </c>
      <c r="Q30" s="11">
        <v>6.8392247538457671E-7</v>
      </c>
      <c r="R30" s="11">
        <v>25</v>
      </c>
      <c r="S30">
        <v>6.75</v>
      </c>
      <c r="T30">
        <v>0</v>
      </c>
      <c r="U30">
        <v>0</v>
      </c>
      <c r="V30">
        <v>0</v>
      </c>
      <c r="W30">
        <v>0</v>
      </c>
      <c r="X30">
        <v>4.5</v>
      </c>
      <c r="Y30">
        <v>0</v>
      </c>
      <c r="Z30">
        <v>1.4999999999999999E-2</v>
      </c>
      <c r="AA30">
        <v>0.2</v>
      </c>
      <c r="AB30">
        <v>0.08</v>
      </c>
      <c r="AC30">
        <v>0.05</v>
      </c>
      <c r="AD30">
        <v>0.4</v>
      </c>
    </row>
    <row r="31" spans="1:30" x14ac:dyDescent="0.3">
      <c r="A31" t="s">
        <v>7</v>
      </c>
      <c r="B31" t="s">
        <v>16</v>
      </c>
      <c r="C31" t="s">
        <v>13</v>
      </c>
      <c r="D31">
        <v>900</v>
      </c>
      <c r="E31">
        <v>102</v>
      </c>
      <c r="F31">
        <v>2</v>
      </c>
      <c r="G31">
        <v>650</v>
      </c>
      <c r="H31">
        <v>2</v>
      </c>
      <c r="I31" t="s">
        <v>21</v>
      </c>
      <c r="J31">
        <v>25</v>
      </c>
      <c r="K31">
        <v>1</v>
      </c>
      <c r="L31">
        <v>70</v>
      </c>
      <c r="M31">
        <v>0.1</v>
      </c>
      <c r="N31">
        <v>10000000</v>
      </c>
      <c r="O31">
        <v>540</v>
      </c>
      <c r="P31">
        <v>0.62436094263907993</v>
      </c>
      <c r="Q31" s="11">
        <v>7.0152612637489846E-7</v>
      </c>
      <c r="R31" s="11">
        <v>25</v>
      </c>
      <c r="S31">
        <v>6.75</v>
      </c>
      <c r="T31">
        <v>0</v>
      </c>
      <c r="U31">
        <v>0</v>
      </c>
      <c r="V31">
        <v>0</v>
      </c>
      <c r="W31">
        <v>0</v>
      </c>
      <c r="X31">
        <v>4.5</v>
      </c>
      <c r="Y31">
        <v>0</v>
      </c>
      <c r="Z31">
        <v>1.4999999999999999E-2</v>
      </c>
      <c r="AA31">
        <v>0.2</v>
      </c>
      <c r="AB31">
        <v>0.08</v>
      </c>
      <c r="AC31">
        <v>0.05</v>
      </c>
      <c r="AD31">
        <v>0.4</v>
      </c>
    </row>
    <row r="32" spans="1:30" x14ac:dyDescent="0.3">
      <c r="A32" t="s">
        <v>7</v>
      </c>
      <c r="B32" t="s">
        <v>19</v>
      </c>
      <c r="C32" t="s">
        <v>9</v>
      </c>
      <c r="D32">
        <v>25</v>
      </c>
      <c r="E32">
        <v>76</v>
      </c>
      <c r="F32">
        <v>1</v>
      </c>
      <c r="G32">
        <v>650</v>
      </c>
      <c r="H32">
        <v>3</v>
      </c>
      <c r="I32" t="s">
        <v>21</v>
      </c>
      <c r="J32">
        <v>25</v>
      </c>
      <c r="K32">
        <v>1</v>
      </c>
      <c r="L32">
        <v>70</v>
      </c>
      <c r="M32">
        <v>-1</v>
      </c>
      <c r="N32">
        <v>100000</v>
      </c>
      <c r="O32">
        <v>60</v>
      </c>
      <c r="P32">
        <v>0.61625969192544583</v>
      </c>
      <c r="Q32" s="11">
        <v>6.5245993263099976E-7</v>
      </c>
      <c r="R32" s="11">
        <v>25</v>
      </c>
      <c r="S32">
        <v>6.75</v>
      </c>
      <c r="T32">
        <v>0</v>
      </c>
      <c r="U32">
        <v>0</v>
      </c>
      <c r="V32">
        <v>0</v>
      </c>
      <c r="W32">
        <v>0</v>
      </c>
      <c r="X32">
        <v>4.5</v>
      </c>
      <c r="Y32">
        <v>0</v>
      </c>
      <c r="Z32">
        <v>1.4999999999999999E-2</v>
      </c>
      <c r="AA32">
        <v>0.2</v>
      </c>
      <c r="AB32">
        <v>0.08</v>
      </c>
      <c r="AC32">
        <v>0.05</v>
      </c>
      <c r="AD32">
        <v>0.4</v>
      </c>
    </row>
    <row r="33" spans="1:30" x14ac:dyDescent="0.3">
      <c r="A33" t="s">
        <v>7</v>
      </c>
      <c r="B33" t="s">
        <v>19</v>
      </c>
      <c r="C33" t="s">
        <v>13</v>
      </c>
      <c r="D33">
        <v>900</v>
      </c>
      <c r="E33">
        <v>102</v>
      </c>
      <c r="F33">
        <v>2</v>
      </c>
      <c r="G33">
        <v>25</v>
      </c>
      <c r="H33">
        <v>1</v>
      </c>
      <c r="I33" t="s">
        <v>21</v>
      </c>
      <c r="J33">
        <v>25</v>
      </c>
      <c r="K33">
        <v>1</v>
      </c>
      <c r="L33">
        <v>70</v>
      </c>
      <c r="M33">
        <v>-1</v>
      </c>
      <c r="N33">
        <v>10000000</v>
      </c>
      <c r="O33">
        <v>405</v>
      </c>
      <c r="P33">
        <v>0.61625969192544583</v>
      </c>
      <c r="Q33" s="11">
        <v>6.9489769552281564E-7</v>
      </c>
      <c r="R33" s="11">
        <v>25</v>
      </c>
      <c r="S33">
        <v>6.75</v>
      </c>
      <c r="T33">
        <v>0</v>
      </c>
      <c r="U33">
        <v>0</v>
      </c>
      <c r="V33">
        <v>0</v>
      </c>
      <c r="W33">
        <v>0</v>
      </c>
      <c r="X33">
        <v>4.5</v>
      </c>
      <c r="Y33">
        <v>0</v>
      </c>
      <c r="Z33">
        <v>1.4999999999999999E-2</v>
      </c>
      <c r="AA33">
        <v>0.2</v>
      </c>
      <c r="AB33">
        <v>0.08</v>
      </c>
      <c r="AC33">
        <v>0.05</v>
      </c>
      <c r="AD33">
        <v>0.4</v>
      </c>
    </row>
    <row r="34" spans="1:30" x14ac:dyDescent="0.3">
      <c r="A34" t="s">
        <v>7</v>
      </c>
      <c r="B34" t="s">
        <v>19</v>
      </c>
      <c r="C34" t="s">
        <v>9</v>
      </c>
      <c r="D34">
        <v>25</v>
      </c>
      <c r="E34">
        <v>76</v>
      </c>
      <c r="F34">
        <v>1</v>
      </c>
      <c r="G34">
        <v>650</v>
      </c>
      <c r="H34">
        <v>2</v>
      </c>
      <c r="I34" t="s">
        <v>21</v>
      </c>
      <c r="J34">
        <v>25</v>
      </c>
      <c r="K34">
        <v>1</v>
      </c>
      <c r="L34">
        <v>70</v>
      </c>
      <c r="M34">
        <v>-1</v>
      </c>
      <c r="N34">
        <v>20000</v>
      </c>
      <c r="O34">
        <v>60</v>
      </c>
      <c r="P34">
        <v>0.61179755234275957</v>
      </c>
      <c r="Q34" s="11">
        <v>6.5245993263099976E-7</v>
      </c>
      <c r="R34" s="11">
        <v>25</v>
      </c>
      <c r="S34">
        <v>6.75</v>
      </c>
      <c r="T34">
        <v>0</v>
      </c>
      <c r="U34">
        <v>0</v>
      </c>
      <c r="V34">
        <v>0</v>
      </c>
      <c r="W34">
        <v>0</v>
      </c>
      <c r="X34">
        <v>4.5</v>
      </c>
      <c r="Y34">
        <v>0</v>
      </c>
      <c r="Z34">
        <v>1.4999999999999999E-2</v>
      </c>
      <c r="AA34">
        <v>0.2</v>
      </c>
      <c r="AB34">
        <v>0.08</v>
      </c>
      <c r="AC34">
        <v>0.05</v>
      </c>
      <c r="AD34">
        <v>0.4</v>
      </c>
    </row>
    <row r="35" spans="1:30" x14ac:dyDescent="0.3">
      <c r="A35" t="s">
        <v>7</v>
      </c>
      <c r="B35" t="s">
        <v>19</v>
      </c>
      <c r="C35" t="s">
        <v>13</v>
      </c>
      <c r="D35">
        <v>900</v>
      </c>
      <c r="E35">
        <v>102</v>
      </c>
      <c r="F35">
        <v>2</v>
      </c>
      <c r="G35">
        <v>650</v>
      </c>
      <c r="H35">
        <v>2</v>
      </c>
      <c r="I35" t="s">
        <v>21</v>
      </c>
      <c r="J35">
        <v>25</v>
      </c>
      <c r="K35">
        <v>1</v>
      </c>
      <c r="L35">
        <v>70</v>
      </c>
      <c r="M35">
        <v>-1</v>
      </c>
      <c r="N35">
        <v>10000000</v>
      </c>
      <c r="O35">
        <v>400</v>
      </c>
      <c r="P35">
        <v>0.73184042486891066</v>
      </c>
      <c r="Q35" s="11">
        <v>6.9461288534764957E-7</v>
      </c>
      <c r="R35" s="11">
        <v>25</v>
      </c>
      <c r="S35">
        <v>6.75</v>
      </c>
      <c r="T35">
        <v>0</v>
      </c>
      <c r="U35">
        <v>0</v>
      </c>
      <c r="V35">
        <v>0</v>
      </c>
      <c r="W35">
        <v>0</v>
      </c>
      <c r="X35">
        <v>4.5</v>
      </c>
      <c r="Y35">
        <v>0</v>
      </c>
      <c r="Z35">
        <v>1.4999999999999999E-2</v>
      </c>
      <c r="AA35">
        <v>0.2</v>
      </c>
      <c r="AB35">
        <v>0.08</v>
      </c>
      <c r="AC35">
        <v>0.05</v>
      </c>
      <c r="AD35">
        <v>0.4</v>
      </c>
    </row>
    <row r="36" spans="1:30" x14ac:dyDescent="0.3">
      <c r="A36" t="s">
        <v>7</v>
      </c>
      <c r="B36" t="s">
        <v>8</v>
      </c>
      <c r="C36" t="s">
        <v>9</v>
      </c>
      <c r="D36">
        <v>25</v>
      </c>
      <c r="E36">
        <v>76</v>
      </c>
      <c r="F36">
        <v>1</v>
      </c>
      <c r="G36">
        <v>650</v>
      </c>
      <c r="H36">
        <v>3</v>
      </c>
      <c r="I36" t="s">
        <v>21</v>
      </c>
      <c r="J36">
        <v>25</v>
      </c>
      <c r="K36">
        <v>1</v>
      </c>
      <c r="L36">
        <v>40</v>
      </c>
      <c r="M36">
        <v>0.1</v>
      </c>
      <c r="N36">
        <v>10000000</v>
      </c>
      <c r="O36">
        <v>340</v>
      </c>
      <c r="P36">
        <v>0.7306392553915726</v>
      </c>
      <c r="Q36" s="11">
        <v>6.9089756162128487E-7</v>
      </c>
      <c r="R36" s="11">
        <v>25</v>
      </c>
      <c r="S36">
        <v>6.75</v>
      </c>
      <c r="T36">
        <v>0</v>
      </c>
      <c r="U36">
        <v>0</v>
      </c>
      <c r="V36">
        <v>0</v>
      </c>
      <c r="W36">
        <v>0</v>
      </c>
      <c r="X36">
        <v>4.5</v>
      </c>
      <c r="Y36">
        <v>0</v>
      </c>
      <c r="Z36">
        <v>1.4999999999999999E-2</v>
      </c>
      <c r="AA36">
        <v>0.2</v>
      </c>
      <c r="AB36">
        <v>0.08</v>
      </c>
      <c r="AC36">
        <v>0.05</v>
      </c>
      <c r="AD36">
        <v>0.4</v>
      </c>
    </row>
    <row r="37" spans="1:30" x14ac:dyDescent="0.3">
      <c r="A37" t="s">
        <v>7</v>
      </c>
      <c r="B37" t="s">
        <v>8</v>
      </c>
      <c r="C37" t="s">
        <v>9</v>
      </c>
      <c r="D37">
        <v>25</v>
      </c>
      <c r="E37">
        <v>76</v>
      </c>
      <c r="F37">
        <v>1</v>
      </c>
      <c r="G37">
        <v>650</v>
      </c>
      <c r="H37">
        <v>3</v>
      </c>
      <c r="I37" t="s">
        <v>21</v>
      </c>
      <c r="J37">
        <v>25</v>
      </c>
      <c r="K37">
        <v>1</v>
      </c>
      <c r="L37">
        <v>40</v>
      </c>
      <c r="M37">
        <v>0.1</v>
      </c>
      <c r="N37">
        <v>10000000</v>
      </c>
      <c r="O37">
        <v>453</v>
      </c>
      <c r="P37">
        <v>0.61625969192544583</v>
      </c>
      <c r="Q37" s="11">
        <v>6.9747090598042519E-7</v>
      </c>
      <c r="R37" s="11">
        <v>25</v>
      </c>
      <c r="S37">
        <v>6.75</v>
      </c>
      <c r="T37">
        <v>0</v>
      </c>
      <c r="U37">
        <v>0</v>
      </c>
      <c r="V37">
        <v>0</v>
      </c>
      <c r="W37">
        <v>0</v>
      </c>
      <c r="X37">
        <v>4.5</v>
      </c>
      <c r="Y37">
        <v>0</v>
      </c>
      <c r="Z37">
        <v>1.4999999999999999E-2</v>
      </c>
      <c r="AA37">
        <v>0.2</v>
      </c>
      <c r="AB37">
        <v>0.08</v>
      </c>
      <c r="AC37">
        <v>0.05</v>
      </c>
      <c r="AD37">
        <v>0.4</v>
      </c>
    </row>
    <row r="38" spans="1:30" x14ac:dyDescent="0.3">
      <c r="A38" t="s">
        <v>7</v>
      </c>
      <c r="B38" t="s">
        <v>10</v>
      </c>
      <c r="C38" t="s">
        <v>6</v>
      </c>
      <c r="D38">
        <v>25</v>
      </c>
      <c r="E38">
        <v>76</v>
      </c>
      <c r="F38">
        <v>2</v>
      </c>
      <c r="G38">
        <v>25</v>
      </c>
      <c r="H38">
        <v>1</v>
      </c>
      <c r="I38" t="s">
        <v>21</v>
      </c>
      <c r="J38">
        <v>25</v>
      </c>
      <c r="K38">
        <v>1</v>
      </c>
      <c r="L38">
        <v>126</v>
      </c>
      <c r="M38">
        <v>0.1</v>
      </c>
      <c r="N38">
        <v>1000000</v>
      </c>
      <c r="O38">
        <v>500</v>
      </c>
      <c r="P38">
        <v>0.61625969192544583</v>
      </c>
      <c r="Q38" s="11">
        <v>6.9974671095948523E-7</v>
      </c>
      <c r="R38" s="11">
        <v>25</v>
      </c>
      <c r="S38">
        <v>6.75</v>
      </c>
      <c r="T38">
        <v>0</v>
      </c>
      <c r="U38">
        <v>0</v>
      </c>
      <c r="V38">
        <v>0</v>
      </c>
      <c r="W38">
        <v>0</v>
      </c>
      <c r="X38">
        <v>4.5</v>
      </c>
      <c r="Y38">
        <v>0</v>
      </c>
      <c r="Z38">
        <v>1.4999999999999999E-2</v>
      </c>
      <c r="AA38">
        <v>0.2</v>
      </c>
      <c r="AB38">
        <v>0.08</v>
      </c>
      <c r="AC38">
        <v>0.05</v>
      </c>
      <c r="AD38">
        <v>0.4</v>
      </c>
    </row>
    <row r="39" spans="1:30" x14ac:dyDescent="0.3">
      <c r="A39" t="s">
        <v>7</v>
      </c>
      <c r="B39" t="s">
        <v>11</v>
      </c>
      <c r="C39" t="s">
        <v>9</v>
      </c>
      <c r="D39">
        <v>25</v>
      </c>
      <c r="E39">
        <v>76</v>
      </c>
      <c r="F39">
        <v>1</v>
      </c>
      <c r="G39">
        <v>600</v>
      </c>
      <c r="H39">
        <v>1</v>
      </c>
      <c r="I39" t="s">
        <v>21</v>
      </c>
      <c r="J39">
        <v>25</v>
      </c>
      <c r="K39">
        <v>1</v>
      </c>
      <c r="L39">
        <v>290</v>
      </c>
      <c r="M39">
        <v>0.01</v>
      </c>
      <c r="N39">
        <v>1000000</v>
      </c>
      <c r="O39">
        <v>482</v>
      </c>
      <c r="P39">
        <v>0.61625969192544583</v>
      </c>
      <c r="Q39" s="11">
        <v>6.989005913459576E-7</v>
      </c>
      <c r="R39" s="11">
        <v>25</v>
      </c>
      <c r="S39">
        <v>6.75</v>
      </c>
      <c r="T39">
        <v>0</v>
      </c>
      <c r="U39">
        <v>0</v>
      </c>
      <c r="V39">
        <v>0</v>
      </c>
      <c r="W39">
        <v>0</v>
      </c>
      <c r="X39">
        <v>4.5</v>
      </c>
      <c r="Y39">
        <v>0</v>
      </c>
      <c r="Z39">
        <v>1.4999999999999999E-2</v>
      </c>
      <c r="AA39">
        <v>0.2</v>
      </c>
      <c r="AB39">
        <v>0.08</v>
      </c>
      <c r="AC39">
        <v>0.05</v>
      </c>
      <c r="AD39">
        <v>0.4</v>
      </c>
    </row>
    <row r="40" spans="1:30" x14ac:dyDescent="0.3">
      <c r="A40" t="s">
        <v>7</v>
      </c>
      <c r="B40" t="s">
        <v>12</v>
      </c>
      <c r="C40" t="s">
        <v>13</v>
      </c>
      <c r="D40">
        <v>920</v>
      </c>
      <c r="E40">
        <v>103</v>
      </c>
      <c r="F40">
        <v>2</v>
      </c>
      <c r="G40">
        <v>650</v>
      </c>
      <c r="H40">
        <v>2</v>
      </c>
      <c r="I40" t="s">
        <v>21</v>
      </c>
      <c r="J40">
        <v>25</v>
      </c>
      <c r="K40">
        <v>1</v>
      </c>
      <c r="L40">
        <v>290</v>
      </c>
      <c r="M40">
        <v>0.1</v>
      </c>
      <c r="N40">
        <v>5000000</v>
      </c>
      <c r="O40">
        <v>155</v>
      </c>
      <c r="P40">
        <v>0.61625969192544583</v>
      </c>
      <c r="Q40" s="11">
        <v>6.7321812774973763E-7</v>
      </c>
      <c r="R40" s="11">
        <v>25</v>
      </c>
      <c r="S40">
        <v>6.75</v>
      </c>
      <c r="T40">
        <v>0</v>
      </c>
      <c r="U40">
        <v>0</v>
      </c>
      <c r="V40">
        <v>0</v>
      </c>
      <c r="W40">
        <v>0</v>
      </c>
      <c r="X40">
        <v>4.5</v>
      </c>
      <c r="Y40">
        <v>0</v>
      </c>
      <c r="Z40">
        <v>1.4999999999999999E-2</v>
      </c>
      <c r="AA40">
        <v>0.2</v>
      </c>
      <c r="AB40">
        <v>0.08</v>
      </c>
      <c r="AC40">
        <v>0.05</v>
      </c>
      <c r="AD40">
        <v>0.4</v>
      </c>
    </row>
    <row r="41" spans="1:30" x14ac:dyDescent="0.3">
      <c r="A41" t="s">
        <v>7</v>
      </c>
      <c r="B41" t="s">
        <v>14</v>
      </c>
      <c r="C41" t="s">
        <v>9</v>
      </c>
      <c r="D41">
        <v>25</v>
      </c>
      <c r="E41">
        <v>76</v>
      </c>
      <c r="F41">
        <v>1</v>
      </c>
      <c r="G41">
        <v>730</v>
      </c>
      <c r="H41">
        <v>2</v>
      </c>
      <c r="I41" t="s">
        <v>21</v>
      </c>
      <c r="J41">
        <v>25</v>
      </c>
      <c r="K41">
        <v>1</v>
      </c>
      <c r="L41">
        <v>290</v>
      </c>
      <c r="M41">
        <v>0.1</v>
      </c>
      <c r="N41">
        <v>5000000</v>
      </c>
      <c r="O41">
        <v>265</v>
      </c>
      <c r="P41">
        <v>0.62436094263907993</v>
      </c>
      <c r="Q41" s="11">
        <v>6.8523883730212022E-7</v>
      </c>
      <c r="R41" s="11">
        <v>25</v>
      </c>
      <c r="S41">
        <v>6.75</v>
      </c>
      <c r="T41">
        <v>0</v>
      </c>
      <c r="U41">
        <v>0</v>
      </c>
      <c r="V41">
        <v>0</v>
      </c>
      <c r="W41">
        <v>0</v>
      </c>
      <c r="X41">
        <v>4.5</v>
      </c>
      <c r="Y41">
        <v>0</v>
      </c>
      <c r="Z41">
        <v>1.4999999999999999E-2</v>
      </c>
      <c r="AA41">
        <v>0.2</v>
      </c>
      <c r="AB41">
        <v>0.08</v>
      </c>
      <c r="AC41">
        <v>0.05</v>
      </c>
      <c r="AD41">
        <v>0.4</v>
      </c>
    </row>
    <row r="42" spans="1:30" x14ac:dyDescent="0.3">
      <c r="A42" t="s">
        <v>7</v>
      </c>
      <c r="B42" t="s">
        <v>8</v>
      </c>
      <c r="C42" t="s">
        <v>9</v>
      </c>
      <c r="D42">
        <v>25</v>
      </c>
      <c r="E42">
        <v>76</v>
      </c>
      <c r="F42">
        <v>2</v>
      </c>
      <c r="G42">
        <v>500</v>
      </c>
      <c r="H42">
        <v>2</v>
      </c>
      <c r="I42" t="s">
        <v>21</v>
      </c>
      <c r="J42">
        <v>25</v>
      </c>
      <c r="K42">
        <v>1</v>
      </c>
      <c r="L42">
        <v>290</v>
      </c>
      <c r="M42">
        <v>0.1</v>
      </c>
      <c r="N42">
        <v>10000000</v>
      </c>
      <c r="O42">
        <v>430</v>
      </c>
      <c r="P42">
        <v>0.61625969192544583</v>
      </c>
      <c r="Q42" s="11">
        <v>6.9627261559342036E-7</v>
      </c>
      <c r="R42" s="11">
        <v>25</v>
      </c>
      <c r="S42">
        <v>6.75</v>
      </c>
      <c r="T42">
        <v>0</v>
      </c>
      <c r="U42">
        <v>0</v>
      </c>
      <c r="V42">
        <v>0</v>
      </c>
      <c r="W42">
        <v>0</v>
      </c>
      <c r="X42">
        <v>4.5</v>
      </c>
      <c r="Y42">
        <v>0</v>
      </c>
      <c r="Z42">
        <v>1.4999999999999999E-2</v>
      </c>
      <c r="AA42">
        <v>0.2</v>
      </c>
      <c r="AB42">
        <v>0.08</v>
      </c>
      <c r="AC42">
        <v>0.05</v>
      </c>
      <c r="AD42">
        <v>0.4</v>
      </c>
    </row>
    <row r="43" spans="1:30" x14ac:dyDescent="0.3">
      <c r="A43" t="s">
        <v>7</v>
      </c>
      <c r="B43" t="s">
        <v>8</v>
      </c>
      <c r="C43" t="s">
        <v>13</v>
      </c>
      <c r="D43">
        <v>900</v>
      </c>
      <c r="E43">
        <v>120</v>
      </c>
      <c r="F43">
        <v>2</v>
      </c>
      <c r="G43">
        <v>25</v>
      </c>
      <c r="H43">
        <v>1</v>
      </c>
      <c r="I43" t="s">
        <v>21</v>
      </c>
      <c r="J43">
        <v>25</v>
      </c>
      <c r="K43">
        <v>1</v>
      </c>
      <c r="L43">
        <v>290</v>
      </c>
      <c r="M43">
        <v>-1</v>
      </c>
      <c r="N43">
        <v>10000000</v>
      </c>
      <c r="O43">
        <v>370</v>
      </c>
      <c r="P43">
        <v>0.61625969192544583</v>
      </c>
      <c r="Q43" s="11">
        <v>6.9282813016766237E-7</v>
      </c>
      <c r="R43" s="11">
        <v>25</v>
      </c>
      <c r="S43">
        <v>6.75</v>
      </c>
      <c r="T43">
        <v>0</v>
      </c>
      <c r="U43">
        <v>0</v>
      </c>
      <c r="V43">
        <v>0</v>
      </c>
      <c r="W43">
        <v>0</v>
      </c>
      <c r="X43">
        <v>4.5</v>
      </c>
      <c r="Y43">
        <v>0</v>
      </c>
      <c r="Z43">
        <v>1.4999999999999999E-2</v>
      </c>
      <c r="AA43">
        <v>0.2</v>
      </c>
      <c r="AB43">
        <v>0.08</v>
      </c>
      <c r="AC43">
        <v>0.05</v>
      </c>
      <c r="AD43">
        <v>0.4</v>
      </c>
    </row>
    <row r="44" spans="1:30" x14ac:dyDescent="0.3">
      <c r="A44" t="s">
        <v>7</v>
      </c>
      <c r="B44" t="s">
        <v>8</v>
      </c>
      <c r="C44" t="s">
        <v>13</v>
      </c>
      <c r="D44">
        <v>900</v>
      </c>
      <c r="E44">
        <v>120</v>
      </c>
      <c r="F44">
        <v>2</v>
      </c>
      <c r="G44">
        <v>25</v>
      </c>
      <c r="H44">
        <v>1</v>
      </c>
      <c r="I44" t="s">
        <v>21</v>
      </c>
      <c r="J44">
        <v>25</v>
      </c>
      <c r="K44">
        <v>1</v>
      </c>
      <c r="L44">
        <v>290</v>
      </c>
      <c r="M44">
        <v>-1</v>
      </c>
      <c r="N44">
        <v>10000000</v>
      </c>
      <c r="O44">
        <v>580</v>
      </c>
      <c r="P44">
        <v>0.61179755234275957</v>
      </c>
      <c r="Q44" s="11">
        <v>7.0318237934689411E-7</v>
      </c>
      <c r="R44" s="11">
        <v>25</v>
      </c>
      <c r="S44">
        <v>6.75</v>
      </c>
      <c r="T44">
        <v>0</v>
      </c>
      <c r="U44">
        <v>0</v>
      </c>
      <c r="V44">
        <v>0</v>
      </c>
      <c r="W44">
        <v>0</v>
      </c>
      <c r="X44">
        <v>4.5</v>
      </c>
      <c r="Y44">
        <v>0</v>
      </c>
      <c r="Z44">
        <v>1.4999999999999999E-2</v>
      </c>
      <c r="AA44">
        <v>0.2</v>
      </c>
      <c r="AB44">
        <v>0.08</v>
      </c>
      <c r="AC44">
        <v>0.05</v>
      </c>
      <c r="AD44">
        <v>0.4</v>
      </c>
    </row>
    <row r="45" spans="1:30" x14ac:dyDescent="0.3">
      <c r="A45" t="s">
        <v>7</v>
      </c>
      <c r="B45" t="s">
        <v>8</v>
      </c>
      <c r="C45" t="s">
        <v>15</v>
      </c>
      <c r="D45">
        <v>25</v>
      </c>
      <c r="E45">
        <v>76</v>
      </c>
      <c r="F45">
        <v>1</v>
      </c>
      <c r="G45">
        <v>650</v>
      </c>
      <c r="H45">
        <v>3</v>
      </c>
      <c r="I45" t="s">
        <v>21</v>
      </c>
      <c r="J45">
        <v>25</v>
      </c>
      <c r="K45">
        <v>1</v>
      </c>
      <c r="L45">
        <v>290</v>
      </c>
      <c r="M45">
        <v>0.2</v>
      </c>
      <c r="N45">
        <v>200000</v>
      </c>
      <c r="O45">
        <v>100</v>
      </c>
      <c r="P45">
        <v>0.61625969192544583</v>
      </c>
      <c r="Q45" s="11">
        <v>6.6355183676397996E-7</v>
      </c>
      <c r="R45" s="11">
        <v>25</v>
      </c>
      <c r="S45">
        <v>6.75</v>
      </c>
      <c r="T45">
        <v>0</v>
      </c>
      <c r="U45">
        <v>0</v>
      </c>
      <c r="V45">
        <v>0</v>
      </c>
      <c r="W45">
        <v>0</v>
      </c>
      <c r="X45">
        <v>4.5</v>
      </c>
      <c r="Y45">
        <v>0</v>
      </c>
      <c r="Z45">
        <v>1.4999999999999999E-2</v>
      </c>
      <c r="AA45">
        <v>0.2</v>
      </c>
      <c r="AB45">
        <v>0.08</v>
      </c>
      <c r="AC45">
        <v>0.05</v>
      </c>
      <c r="AD45">
        <v>0.4</v>
      </c>
    </row>
    <row r="46" spans="1:30" x14ac:dyDescent="0.3">
      <c r="A46" t="s">
        <v>7</v>
      </c>
      <c r="B46" t="s">
        <v>14</v>
      </c>
      <c r="C46" t="s">
        <v>9</v>
      </c>
      <c r="D46">
        <v>25</v>
      </c>
      <c r="E46">
        <v>76</v>
      </c>
      <c r="F46">
        <v>1</v>
      </c>
      <c r="G46">
        <v>700</v>
      </c>
      <c r="H46">
        <v>1</v>
      </c>
      <c r="I46" t="s">
        <v>21</v>
      </c>
      <c r="J46">
        <v>25</v>
      </c>
      <c r="K46">
        <v>1</v>
      </c>
      <c r="L46">
        <v>290</v>
      </c>
      <c r="M46">
        <v>-1</v>
      </c>
      <c r="N46">
        <v>10000000</v>
      </c>
      <c r="O46">
        <v>88</v>
      </c>
      <c r="P46">
        <v>0.61625969192544583</v>
      </c>
      <c r="Q46" s="11">
        <v>6.6075853841333952E-7</v>
      </c>
      <c r="R46" s="11">
        <v>25</v>
      </c>
      <c r="S46">
        <v>6.75</v>
      </c>
      <c r="T46">
        <v>0</v>
      </c>
      <c r="U46">
        <v>0</v>
      </c>
      <c r="V46">
        <v>0</v>
      </c>
      <c r="W46">
        <v>0</v>
      </c>
      <c r="X46">
        <v>4.5</v>
      </c>
      <c r="Y46">
        <v>0</v>
      </c>
      <c r="Z46">
        <v>1.4999999999999999E-2</v>
      </c>
      <c r="AA46">
        <v>0.2</v>
      </c>
      <c r="AB46">
        <v>0.08</v>
      </c>
      <c r="AC46">
        <v>0.05</v>
      </c>
      <c r="AD46">
        <v>0.4</v>
      </c>
    </row>
    <row r="47" spans="1:30" x14ac:dyDescent="0.3">
      <c r="A47" t="s">
        <v>7</v>
      </c>
      <c r="B47" t="s">
        <v>8</v>
      </c>
      <c r="C47" t="s">
        <v>9</v>
      </c>
      <c r="D47">
        <v>25</v>
      </c>
      <c r="E47">
        <v>76</v>
      </c>
      <c r="F47">
        <v>1</v>
      </c>
      <c r="G47">
        <v>710</v>
      </c>
      <c r="H47">
        <v>2</v>
      </c>
      <c r="I47" t="s">
        <v>21</v>
      </c>
      <c r="J47">
        <v>25</v>
      </c>
      <c r="K47">
        <v>1</v>
      </c>
      <c r="L47">
        <v>38</v>
      </c>
      <c r="M47">
        <v>0.1</v>
      </c>
      <c r="N47">
        <v>10000000</v>
      </c>
      <c r="O47">
        <v>430</v>
      </c>
      <c r="P47">
        <v>0.61625969192544583</v>
      </c>
      <c r="Q47" s="11">
        <v>6.9627261559342036E-7</v>
      </c>
      <c r="R47" s="11">
        <v>25</v>
      </c>
      <c r="S47">
        <v>6.75</v>
      </c>
      <c r="T47">
        <v>0</v>
      </c>
      <c r="U47">
        <v>0</v>
      </c>
      <c r="V47">
        <v>0</v>
      </c>
      <c r="W47">
        <v>0</v>
      </c>
      <c r="X47">
        <v>4.5</v>
      </c>
      <c r="Y47">
        <v>0</v>
      </c>
      <c r="Z47">
        <v>1.4999999999999999E-2</v>
      </c>
      <c r="AA47">
        <v>0.2</v>
      </c>
      <c r="AB47">
        <v>0.08</v>
      </c>
      <c r="AC47">
        <v>0.05</v>
      </c>
      <c r="AD47">
        <v>0.4</v>
      </c>
    </row>
    <row r="48" spans="1:30" x14ac:dyDescent="0.3">
      <c r="A48" t="s">
        <v>7</v>
      </c>
      <c r="B48" t="s">
        <v>8</v>
      </c>
      <c r="C48" t="s">
        <v>6</v>
      </c>
      <c r="D48">
        <v>25</v>
      </c>
      <c r="E48">
        <v>76</v>
      </c>
      <c r="F48">
        <v>2</v>
      </c>
      <c r="G48">
        <v>25</v>
      </c>
      <c r="H48">
        <v>1</v>
      </c>
      <c r="I48" t="s">
        <v>21</v>
      </c>
      <c r="J48">
        <v>25</v>
      </c>
      <c r="K48">
        <v>1</v>
      </c>
      <c r="L48">
        <v>26</v>
      </c>
      <c r="M48">
        <v>0.1</v>
      </c>
      <c r="N48">
        <v>3000000</v>
      </c>
      <c r="O48">
        <v>400</v>
      </c>
      <c r="P48">
        <v>0.61625969192544583</v>
      </c>
      <c r="Q48" s="11">
        <v>6.9461288534764957E-7</v>
      </c>
      <c r="R48" s="11">
        <v>25</v>
      </c>
      <c r="S48">
        <v>6.75</v>
      </c>
      <c r="T48">
        <v>0</v>
      </c>
      <c r="U48">
        <v>0</v>
      </c>
      <c r="V48">
        <v>0</v>
      </c>
      <c r="W48">
        <v>0</v>
      </c>
      <c r="X48">
        <v>4.5</v>
      </c>
      <c r="Y48">
        <v>0</v>
      </c>
      <c r="Z48">
        <v>1.4999999999999999E-2</v>
      </c>
      <c r="AA48">
        <v>0.2</v>
      </c>
      <c r="AB48">
        <v>0.08</v>
      </c>
      <c r="AC48">
        <v>0.05</v>
      </c>
      <c r="AD48">
        <v>0.4</v>
      </c>
    </row>
    <row r="49" spans="1:30" x14ac:dyDescent="0.3">
      <c r="A49" t="s">
        <v>7</v>
      </c>
      <c r="B49" t="s">
        <v>8</v>
      </c>
      <c r="C49" t="s">
        <v>6</v>
      </c>
      <c r="D49">
        <v>25</v>
      </c>
      <c r="E49">
        <v>76</v>
      </c>
      <c r="F49">
        <v>2</v>
      </c>
      <c r="G49">
        <v>25</v>
      </c>
      <c r="H49">
        <v>1</v>
      </c>
      <c r="I49" t="s">
        <v>21</v>
      </c>
      <c r="J49">
        <v>25</v>
      </c>
      <c r="K49">
        <v>1</v>
      </c>
      <c r="L49">
        <v>26</v>
      </c>
      <c r="M49">
        <v>0.1</v>
      </c>
      <c r="N49">
        <v>5000000</v>
      </c>
      <c r="O49">
        <v>500</v>
      </c>
      <c r="P49">
        <v>0.61625969192544583</v>
      </c>
      <c r="Q49" s="11">
        <v>6.9974671095948523E-7</v>
      </c>
      <c r="R49" s="11">
        <v>25</v>
      </c>
      <c r="S49">
        <v>6.75</v>
      </c>
      <c r="T49">
        <v>0</v>
      </c>
      <c r="U49">
        <v>0</v>
      </c>
      <c r="V49">
        <v>0</v>
      </c>
      <c r="W49">
        <v>0</v>
      </c>
      <c r="X49">
        <v>4.5</v>
      </c>
      <c r="Y49">
        <v>0</v>
      </c>
      <c r="Z49">
        <v>1.4999999999999999E-2</v>
      </c>
      <c r="AA49">
        <v>0.2</v>
      </c>
      <c r="AB49">
        <v>0.08</v>
      </c>
      <c r="AC49">
        <v>0.05</v>
      </c>
      <c r="AD49">
        <v>0.4</v>
      </c>
    </row>
    <row r="50" spans="1:30" x14ac:dyDescent="0.3">
      <c r="A50" t="s">
        <v>7</v>
      </c>
      <c r="B50" t="s">
        <v>14</v>
      </c>
      <c r="C50" t="s">
        <v>9</v>
      </c>
      <c r="D50">
        <v>25</v>
      </c>
      <c r="E50">
        <v>76</v>
      </c>
      <c r="F50">
        <v>2</v>
      </c>
      <c r="G50">
        <v>700</v>
      </c>
      <c r="H50">
        <v>1</v>
      </c>
      <c r="I50" t="s">
        <v>21</v>
      </c>
      <c r="J50">
        <v>25</v>
      </c>
      <c r="K50">
        <v>1</v>
      </c>
      <c r="L50">
        <v>32</v>
      </c>
      <c r="M50">
        <v>-1</v>
      </c>
      <c r="N50">
        <v>10000000</v>
      </c>
      <c r="O50">
        <v>88</v>
      </c>
      <c r="P50">
        <v>0.61179755234275957</v>
      </c>
      <c r="Q50" s="11">
        <v>6.6075853841333952E-7</v>
      </c>
      <c r="R50" s="11">
        <v>25</v>
      </c>
      <c r="S50">
        <v>6.75</v>
      </c>
      <c r="T50">
        <v>0</v>
      </c>
      <c r="U50">
        <v>0</v>
      </c>
      <c r="V50">
        <v>0</v>
      </c>
      <c r="W50">
        <v>0</v>
      </c>
      <c r="X50">
        <v>4.5</v>
      </c>
      <c r="Y50">
        <v>0</v>
      </c>
      <c r="Z50">
        <v>1.4999999999999999E-2</v>
      </c>
      <c r="AA50">
        <v>0.2</v>
      </c>
      <c r="AB50">
        <v>0.08</v>
      </c>
      <c r="AC50">
        <v>0.05</v>
      </c>
      <c r="AD50">
        <v>0.4</v>
      </c>
    </row>
    <row r="51" spans="1:30" x14ac:dyDescent="0.3">
      <c r="A51" t="s">
        <v>7</v>
      </c>
      <c r="B51" t="s">
        <v>8</v>
      </c>
      <c r="C51" t="s">
        <v>9</v>
      </c>
      <c r="D51">
        <v>25</v>
      </c>
      <c r="E51">
        <v>76</v>
      </c>
      <c r="F51">
        <v>2</v>
      </c>
      <c r="G51">
        <v>800</v>
      </c>
      <c r="H51">
        <v>2</v>
      </c>
      <c r="I51" t="s">
        <v>21</v>
      </c>
      <c r="J51">
        <v>25</v>
      </c>
      <c r="K51">
        <v>1</v>
      </c>
      <c r="L51">
        <v>32</v>
      </c>
      <c r="M51">
        <v>-1</v>
      </c>
      <c r="N51">
        <v>10000000</v>
      </c>
      <c r="O51">
        <v>250</v>
      </c>
      <c r="P51">
        <v>0.61625969192544583</v>
      </c>
      <c r="Q51" s="11">
        <v>6.8392247538457671E-7</v>
      </c>
      <c r="R51" s="11">
        <v>25</v>
      </c>
      <c r="S51">
        <v>6.75</v>
      </c>
      <c r="T51">
        <v>0</v>
      </c>
      <c r="U51">
        <v>0</v>
      </c>
      <c r="V51">
        <v>0</v>
      </c>
      <c r="W51">
        <v>0</v>
      </c>
      <c r="X51">
        <v>4.5</v>
      </c>
      <c r="Y51">
        <v>0</v>
      </c>
      <c r="Z51">
        <v>1.4999999999999999E-2</v>
      </c>
      <c r="AA51">
        <v>0.2</v>
      </c>
      <c r="AB51">
        <v>0.08</v>
      </c>
      <c r="AC51">
        <v>0.05</v>
      </c>
      <c r="AD51">
        <v>0.4</v>
      </c>
    </row>
    <row r="52" spans="1:30" x14ac:dyDescent="0.3">
      <c r="A52" t="s">
        <v>7</v>
      </c>
      <c r="B52" t="s">
        <v>8</v>
      </c>
      <c r="C52" t="s">
        <v>13</v>
      </c>
      <c r="D52">
        <v>920</v>
      </c>
      <c r="E52">
        <v>100</v>
      </c>
      <c r="F52">
        <v>2</v>
      </c>
      <c r="G52">
        <v>25</v>
      </c>
      <c r="H52">
        <v>1</v>
      </c>
      <c r="I52" t="s">
        <v>21</v>
      </c>
      <c r="J52">
        <v>25</v>
      </c>
      <c r="K52">
        <v>1</v>
      </c>
      <c r="L52">
        <v>32</v>
      </c>
      <c r="M52">
        <v>-1</v>
      </c>
      <c r="N52">
        <v>10000000</v>
      </c>
      <c r="O52">
        <v>420</v>
      </c>
      <c r="P52">
        <v>0.61625969192544583</v>
      </c>
      <c r="Q52" s="11">
        <v>6.957321652998617E-7</v>
      </c>
      <c r="R52" s="11">
        <v>25</v>
      </c>
      <c r="S52">
        <v>6.75</v>
      </c>
      <c r="T52">
        <v>0</v>
      </c>
      <c r="U52">
        <v>0</v>
      </c>
      <c r="V52">
        <v>0</v>
      </c>
      <c r="W52">
        <v>0</v>
      </c>
      <c r="X52">
        <v>4.5</v>
      </c>
      <c r="Y52">
        <v>0</v>
      </c>
      <c r="Z52">
        <v>1.4999999999999999E-2</v>
      </c>
      <c r="AA52">
        <v>0.2</v>
      </c>
      <c r="AB52">
        <v>0.08</v>
      </c>
      <c r="AC52">
        <v>0.05</v>
      </c>
      <c r="AD52">
        <v>0.4</v>
      </c>
    </row>
    <row r="53" spans="1:30" x14ac:dyDescent="0.3">
      <c r="A53" t="s">
        <v>7</v>
      </c>
      <c r="B53" t="s">
        <v>16</v>
      </c>
      <c r="C53" t="s">
        <v>6</v>
      </c>
      <c r="D53">
        <v>25</v>
      </c>
      <c r="E53">
        <v>76</v>
      </c>
      <c r="F53">
        <v>2</v>
      </c>
      <c r="G53">
        <v>25</v>
      </c>
      <c r="H53">
        <v>1</v>
      </c>
      <c r="I53" t="s">
        <v>21</v>
      </c>
      <c r="J53">
        <v>25</v>
      </c>
      <c r="K53">
        <v>1</v>
      </c>
      <c r="L53">
        <v>32</v>
      </c>
      <c r="M53">
        <v>-1</v>
      </c>
      <c r="N53">
        <v>10000000</v>
      </c>
      <c r="O53">
        <v>410</v>
      </c>
      <c r="P53">
        <v>0.61625969192544583</v>
      </c>
      <c r="Q53" s="11">
        <v>6.951791256455108E-7</v>
      </c>
      <c r="R53" s="11">
        <v>25</v>
      </c>
      <c r="S53">
        <v>6.75</v>
      </c>
      <c r="T53">
        <v>0</v>
      </c>
      <c r="U53">
        <v>0</v>
      </c>
      <c r="V53">
        <v>0</v>
      </c>
      <c r="W53">
        <v>0</v>
      </c>
      <c r="X53">
        <v>4.5</v>
      </c>
      <c r="Y53">
        <v>0</v>
      </c>
      <c r="Z53">
        <v>1.4999999999999999E-2</v>
      </c>
      <c r="AA53">
        <v>0.2</v>
      </c>
      <c r="AB53">
        <v>0.08</v>
      </c>
      <c r="AC53">
        <v>0.05</v>
      </c>
      <c r="AD53">
        <v>0.4</v>
      </c>
    </row>
    <row r="54" spans="1:30" x14ac:dyDescent="0.3">
      <c r="A54" t="s">
        <v>7</v>
      </c>
      <c r="B54" t="s">
        <v>8</v>
      </c>
      <c r="C54" t="s">
        <v>17</v>
      </c>
      <c r="D54">
        <v>920</v>
      </c>
      <c r="E54">
        <v>100</v>
      </c>
      <c r="F54">
        <v>2</v>
      </c>
      <c r="G54">
        <v>800</v>
      </c>
      <c r="H54">
        <v>2</v>
      </c>
      <c r="I54" t="s">
        <v>21</v>
      </c>
      <c r="J54">
        <v>25</v>
      </c>
      <c r="K54">
        <v>1</v>
      </c>
      <c r="L54">
        <v>32</v>
      </c>
      <c r="M54">
        <v>-1</v>
      </c>
      <c r="N54">
        <v>10000000</v>
      </c>
      <c r="O54">
        <v>200</v>
      </c>
      <c r="P54">
        <v>0.61625969192544583</v>
      </c>
      <c r="Q54" s="11">
        <v>6.7890474730433336E-7</v>
      </c>
      <c r="R54" s="11">
        <v>25</v>
      </c>
      <c r="S54">
        <v>6.75</v>
      </c>
      <c r="T54">
        <v>0</v>
      </c>
      <c r="U54">
        <v>0</v>
      </c>
      <c r="V54">
        <v>0</v>
      </c>
      <c r="W54">
        <v>0</v>
      </c>
      <c r="X54">
        <v>4.5</v>
      </c>
      <c r="Y54">
        <v>0</v>
      </c>
      <c r="Z54">
        <v>1.4999999999999999E-2</v>
      </c>
      <c r="AA54">
        <v>0.2</v>
      </c>
      <c r="AB54">
        <v>0.08</v>
      </c>
      <c r="AC54">
        <v>0.05</v>
      </c>
      <c r="AD54">
        <v>0.4</v>
      </c>
    </row>
    <row r="55" spans="1:30" x14ac:dyDescent="0.3">
      <c r="A55" t="s">
        <v>7</v>
      </c>
      <c r="B55" t="s">
        <v>8</v>
      </c>
      <c r="C55" t="s">
        <v>18</v>
      </c>
      <c r="D55">
        <v>920</v>
      </c>
      <c r="E55">
        <v>100</v>
      </c>
      <c r="F55">
        <v>2</v>
      </c>
      <c r="G55">
        <v>800</v>
      </c>
      <c r="H55">
        <v>2</v>
      </c>
      <c r="I55" t="s">
        <v>21</v>
      </c>
      <c r="J55">
        <v>25</v>
      </c>
      <c r="K55">
        <v>1</v>
      </c>
      <c r="L55">
        <v>32</v>
      </c>
      <c r="M55">
        <v>-1</v>
      </c>
      <c r="N55">
        <v>10000000</v>
      </c>
      <c r="O55">
        <v>350</v>
      </c>
      <c r="P55">
        <v>0.61625969192544583</v>
      </c>
      <c r="Q55" s="11">
        <v>6.9155878264107028E-7</v>
      </c>
      <c r="R55" s="11">
        <v>25</v>
      </c>
      <c r="S55">
        <v>6.75</v>
      </c>
      <c r="T55">
        <v>0</v>
      </c>
      <c r="U55">
        <v>0</v>
      </c>
      <c r="V55">
        <v>0</v>
      </c>
      <c r="W55">
        <v>0</v>
      </c>
      <c r="X55">
        <v>4.5</v>
      </c>
      <c r="Y55">
        <v>0</v>
      </c>
      <c r="Z55">
        <v>1.4999999999999999E-2</v>
      </c>
      <c r="AA55">
        <v>0.2</v>
      </c>
      <c r="AB55">
        <v>0.08</v>
      </c>
      <c r="AC55">
        <v>0.05</v>
      </c>
      <c r="AD55">
        <v>0.4</v>
      </c>
    </row>
    <row r="56" spans="1:30" x14ac:dyDescent="0.3">
      <c r="A56" t="s">
        <v>7</v>
      </c>
      <c r="B56" t="s">
        <v>8</v>
      </c>
      <c r="C56" t="s">
        <v>6</v>
      </c>
      <c r="D56">
        <v>25</v>
      </c>
      <c r="E56">
        <v>76</v>
      </c>
      <c r="F56">
        <v>2</v>
      </c>
      <c r="G56">
        <v>25</v>
      </c>
      <c r="H56">
        <v>1</v>
      </c>
      <c r="I56" t="s">
        <v>21</v>
      </c>
      <c r="J56">
        <v>25</v>
      </c>
      <c r="K56">
        <v>1</v>
      </c>
      <c r="L56">
        <v>32</v>
      </c>
      <c r="M56">
        <v>0.1</v>
      </c>
      <c r="N56">
        <v>10000000</v>
      </c>
      <c r="O56">
        <v>100</v>
      </c>
      <c r="P56">
        <v>0.61625969192544583</v>
      </c>
      <c r="Q56" s="11">
        <v>6.6355183676397996E-7</v>
      </c>
      <c r="R56" s="11">
        <v>25</v>
      </c>
      <c r="S56">
        <v>6.75</v>
      </c>
      <c r="T56">
        <v>0</v>
      </c>
      <c r="U56">
        <v>0</v>
      </c>
      <c r="V56">
        <v>0</v>
      </c>
      <c r="W56">
        <v>0</v>
      </c>
      <c r="X56">
        <v>4.5</v>
      </c>
      <c r="Y56">
        <v>0</v>
      </c>
      <c r="Z56">
        <v>1.4999999999999999E-2</v>
      </c>
      <c r="AA56">
        <v>0.2</v>
      </c>
      <c r="AB56">
        <v>0.08</v>
      </c>
      <c r="AC56">
        <v>0.05</v>
      </c>
      <c r="AD56">
        <v>0.4</v>
      </c>
    </row>
    <row r="57" spans="1:30" x14ac:dyDescent="0.3">
      <c r="A57" t="s">
        <v>7</v>
      </c>
      <c r="B57" t="s">
        <v>16</v>
      </c>
      <c r="C57" t="s">
        <v>6</v>
      </c>
      <c r="D57">
        <v>25</v>
      </c>
      <c r="E57">
        <v>76</v>
      </c>
      <c r="F57">
        <v>2</v>
      </c>
      <c r="G57">
        <v>25</v>
      </c>
      <c r="H57">
        <v>1</v>
      </c>
      <c r="I57" t="s">
        <v>21</v>
      </c>
      <c r="J57">
        <v>25</v>
      </c>
      <c r="K57">
        <v>1</v>
      </c>
      <c r="L57">
        <v>32</v>
      </c>
      <c r="M57">
        <v>0.1</v>
      </c>
      <c r="N57">
        <v>10000000</v>
      </c>
      <c r="O57">
        <v>60</v>
      </c>
      <c r="P57">
        <v>0.61179755234275957</v>
      </c>
      <c r="Q57" s="11">
        <v>6.5245993263099976E-7</v>
      </c>
      <c r="R57" s="11">
        <v>25</v>
      </c>
      <c r="S57">
        <v>6.75</v>
      </c>
      <c r="T57">
        <v>0</v>
      </c>
      <c r="U57">
        <v>0</v>
      </c>
      <c r="V57">
        <v>0</v>
      </c>
      <c r="W57">
        <v>0</v>
      </c>
      <c r="X57">
        <v>4.5</v>
      </c>
      <c r="Y57">
        <v>0</v>
      </c>
      <c r="Z57">
        <v>1.4999999999999999E-2</v>
      </c>
      <c r="AA57">
        <v>0.2</v>
      </c>
      <c r="AB57">
        <v>0.08</v>
      </c>
      <c r="AC57">
        <v>0.05</v>
      </c>
      <c r="AD57">
        <v>0.4</v>
      </c>
    </row>
    <row r="58" spans="1:30" x14ac:dyDescent="0.3">
      <c r="A58" t="s">
        <v>7</v>
      </c>
      <c r="B58" t="s">
        <v>8</v>
      </c>
      <c r="C58" t="s">
        <v>4</v>
      </c>
      <c r="D58">
        <v>25</v>
      </c>
      <c r="E58">
        <v>76</v>
      </c>
      <c r="F58">
        <v>2</v>
      </c>
      <c r="G58">
        <v>920</v>
      </c>
      <c r="H58">
        <v>2</v>
      </c>
      <c r="I58" t="s">
        <v>5</v>
      </c>
      <c r="J58">
        <v>670</v>
      </c>
      <c r="K58">
        <v>4</v>
      </c>
      <c r="L58">
        <v>32</v>
      </c>
      <c r="M58">
        <v>-1</v>
      </c>
      <c r="N58">
        <v>30000000</v>
      </c>
      <c r="O58">
        <v>221</v>
      </c>
      <c r="P58">
        <v>0.58169985496347387</v>
      </c>
      <c r="Q58" s="11">
        <v>6.8114535713845106E-7</v>
      </c>
      <c r="R58" s="11">
        <v>25</v>
      </c>
      <c r="S58">
        <v>6.75</v>
      </c>
      <c r="T58">
        <v>0</v>
      </c>
      <c r="U58">
        <v>0</v>
      </c>
      <c r="V58">
        <v>0</v>
      </c>
      <c r="W58">
        <v>0</v>
      </c>
      <c r="X58">
        <v>4.5</v>
      </c>
      <c r="Y58">
        <v>0</v>
      </c>
      <c r="Z58">
        <v>1.4999999999999999E-2</v>
      </c>
      <c r="AA58">
        <v>0.2</v>
      </c>
      <c r="AB58">
        <v>0.08</v>
      </c>
      <c r="AC58">
        <v>0.05</v>
      </c>
      <c r="AD58">
        <v>0.4</v>
      </c>
    </row>
    <row r="59" spans="1:30" x14ac:dyDescent="0.3">
      <c r="A59" t="s">
        <v>7</v>
      </c>
      <c r="B59" t="s">
        <v>11</v>
      </c>
      <c r="C59" t="s">
        <v>9</v>
      </c>
      <c r="D59">
        <v>25</v>
      </c>
      <c r="E59">
        <v>76</v>
      </c>
      <c r="F59">
        <v>2</v>
      </c>
      <c r="G59">
        <v>600</v>
      </c>
      <c r="H59">
        <v>1</v>
      </c>
      <c r="I59" t="s">
        <v>21</v>
      </c>
      <c r="J59">
        <v>25</v>
      </c>
      <c r="K59">
        <v>1</v>
      </c>
      <c r="L59">
        <v>181</v>
      </c>
      <c r="M59">
        <v>0.01</v>
      </c>
      <c r="N59">
        <v>1000000</v>
      </c>
      <c r="O59">
        <v>482</v>
      </c>
      <c r="P59">
        <v>0.61625969192544583</v>
      </c>
      <c r="Q59" s="11">
        <v>6.989005913459576E-7</v>
      </c>
      <c r="R59" s="11">
        <v>25</v>
      </c>
      <c r="S59">
        <v>6.75</v>
      </c>
      <c r="T59">
        <v>0</v>
      </c>
      <c r="U59">
        <v>0</v>
      </c>
      <c r="V59">
        <v>0</v>
      </c>
      <c r="W59">
        <v>0</v>
      </c>
      <c r="X59">
        <v>4.5</v>
      </c>
      <c r="Y59">
        <v>0</v>
      </c>
      <c r="Z59">
        <v>1.4999999999999999E-2</v>
      </c>
      <c r="AA59">
        <v>0.2</v>
      </c>
      <c r="AB59">
        <v>0.08</v>
      </c>
      <c r="AC59">
        <v>0.05</v>
      </c>
      <c r="AD59">
        <v>0.4</v>
      </c>
    </row>
    <row r="60" spans="1:30" x14ac:dyDescent="0.3">
      <c r="A60" t="s">
        <v>7</v>
      </c>
      <c r="B60" t="s">
        <v>12</v>
      </c>
      <c r="C60" t="s">
        <v>13</v>
      </c>
      <c r="D60">
        <v>920</v>
      </c>
      <c r="E60">
        <v>103</v>
      </c>
      <c r="F60">
        <v>2</v>
      </c>
      <c r="G60">
        <v>25</v>
      </c>
      <c r="H60">
        <v>1</v>
      </c>
      <c r="I60" t="s">
        <v>21</v>
      </c>
      <c r="J60">
        <v>25</v>
      </c>
      <c r="K60">
        <v>1</v>
      </c>
      <c r="L60">
        <v>181</v>
      </c>
      <c r="M60">
        <v>0.1</v>
      </c>
      <c r="N60">
        <v>5000000</v>
      </c>
      <c r="O60">
        <v>155</v>
      </c>
      <c r="P60">
        <v>0.61625969192544583</v>
      </c>
      <c r="Q60" s="11">
        <v>6.7321812774973763E-7</v>
      </c>
      <c r="R60" s="11">
        <v>25</v>
      </c>
      <c r="S60">
        <v>6.75</v>
      </c>
      <c r="T60">
        <v>0</v>
      </c>
      <c r="U60">
        <v>0</v>
      </c>
      <c r="V60">
        <v>0</v>
      </c>
      <c r="W60">
        <v>0</v>
      </c>
      <c r="X60">
        <v>4.5</v>
      </c>
      <c r="Y60">
        <v>0</v>
      </c>
      <c r="Z60">
        <v>1.4999999999999999E-2</v>
      </c>
      <c r="AA60">
        <v>0.2</v>
      </c>
      <c r="AB60">
        <v>0.08</v>
      </c>
      <c r="AC60">
        <v>0.05</v>
      </c>
      <c r="AD60">
        <v>0.4</v>
      </c>
    </row>
    <row r="61" spans="1:30" x14ac:dyDescent="0.3">
      <c r="A61" t="s">
        <v>7</v>
      </c>
      <c r="B61" t="s">
        <v>14</v>
      </c>
      <c r="C61" t="s">
        <v>9</v>
      </c>
      <c r="D61">
        <v>25</v>
      </c>
      <c r="E61">
        <v>76</v>
      </c>
      <c r="F61">
        <v>2</v>
      </c>
      <c r="G61">
        <v>730</v>
      </c>
      <c r="H61">
        <v>2</v>
      </c>
      <c r="I61" t="s">
        <v>21</v>
      </c>
      <c r="J61">
        <v>25</v>
      </c>
      <c r="K61">
        <v>1</v>
      </c>
      <c r="L61">
        <v>181</v>
      </c>
      <c r="M61">
        <v>0.1</v>
      </c>
      <c r="N61">
        <v>5000000</v>
      </c>
      <c r="O61">
        <v>265</v>
      </c>
      <c r="P61">
        <v>0.61179755234275957</v>
      </c>
      <c r="Q61" s="11">
        <v>6.8523883730212022E-7</v>
      </c>
      <c r="R61" s="11">
        <v>25</v>
      </c>
      <c r="S61">
        <v>6.75</v>
      </c>
      <c r="T61">
        <v>0</v>
      </c>
      <c r="U61">
        <v>0</v>
      </c>
      <c r="V61">
        <v>0</v>
      </c>
      <c r="W61">
        <v>0</v>
      </c>
      <c r="X61">
        <v>4.5</v>
      </c>
      <c r="Y61">
        <v>0</v>
      </c>
      <c r="Z61">
        <v>1.4999999999999999E-2</v>
      </c>
      <c r="AA61">
        <v>0.2</v>
      </c>
      <c r="AB61">
        <v>0.08</v>
      </c>
      <c r="AC61">
        <v>0.05</v>
      </c>
      <c r="AD61">
        <v>0.4</v>
      </c>
    </row>
    <row r="62" spans="1:30" x14ac:dyDescent="0.3">
      <c r="A62" t="s">
        <v>7</v>
      </c>
      <c r="B62" t="s">
        <v>8</v>
      </c>
      <c r="C62" t="s">
        <v>9</v>
      </c>
      <c r="D62">
        <v>25</v>
      </c>
      <c r="E62">
        <v>76</v>
      </c>
      <c r="F62">
        <v>2</v>
      </c>
      <c r="G62">
        <v>500</v>
      </c>
      <c r="H62">
        <v>2</v>
      </c>
      <c r="I62" t="s">
        <v>21</v>
      </c>
      <c r="J62">
        <v>25</v>
      </c>
      <c r="K62">
        <v>1</v>
      </c>
      <c r="L62">
        <v>181</v>
      </c>
      <c r="M62">
        <v>0.1</v>
      </c>
      <c r="N62">
        <v>10000000</v>
      </c>
      <c r="O62">
        <v>430</v>
      </c>
      <c r="P62">
        <v>0.61625969192544583</v>
      </c>
      <c r="Q62" s="11">
        <v>6.9627261559342036E-7</v>
      </c>
      <c r="R62" s="11">
        <v>25</v>
      </c>
      <c r="S62">
        <v>6.75</v>
      </c>
      <c r="T62">
        <v>0</v>
      </c>
      <c r="U62">
        <v>0</v>
      </c>
      <c r="V62">
        <v>0</v>
      </c>
      <c r="W62">
        <v>0</v>
      </c>
      <c r="X62">
        <v>4.5</v>
      </c>
      <c r="Y62">
        <v>0</v>
      </c>
      <c r="Z62">
        <v>1.4999999999999999E-2</v>
      </c>
      <c r="AA62">
        <v>0.2</v>
      </c>
      <c r="AB62">
        <v>0.08</v>
      </c>
      <c r="AC62">
        <v>0.05</v>
      </c>
      <c r="AD62">
        <v>0.4</v>
      </c>
    </row>
    <row r="63" spans="1:30" x14ac:dyDescent="0.3">
      <c r="A63" t="s">
        <v>7</v>
      </c>
      <c r="B63" t="s">
        <v>8</v>
      </c>
      <c r="C63" t="s">
        <v>13</v>
      </c>
      <c r="D63">
        <v>900</v>
      </c>
      <c r="E63">
        <v>120</v>
      </c>
      <c r="F63">
        <v>2</v>
      </c>
      <c r="G63">
        <v>25</v>
      </c>
      <c r="H63">
        <v>1</v>
      </c>
      <c r="I63" t="s">
        <v>21</v>
      </c>
      <c r="J63">
        <v>25</v>
      </c>
      <c r="K63">
        <v>1</v>
      </c>
      <c r="L63">
        <v>181</v>
      </c>
      <c r="M63">
        <v>-1</v>
      </c>
      <c r="N63">
        <v>10000000</v>
      </c>
      <c r="O63">
        <v>370</v>
      </c>
      <c r="P63">
        <v>0.61625969192544583</v>
      </c>
      <c r="Q63" s="11">
        <v>6.9282813016766237E-7</v>
      </c>
      <c r="R63" s="11">
        <v>25</v>
      </c>
      <c r="S63">
        <v>6.75</v>
      </c>
      <c r="T63">
        <v>0</v>
      </c>
      <c r="U63">
        <v>0</v>
      </c>
      <c r="V63">
        <v>0</v>
      </c>
      <c r="W63">
        <v>0</v>
      </c>
      <c r="X63">
        <v>4.5</v>
      </c>
      <c r="Y63">
        <v>0</v>
      </c>
      <c r="Z63">
        <v>1.4999999999999999E-2</v>
      </c>
      <c r="AA63">
        <v>0.2</v>
      </c>
      <c r="AB63">
        <v>0.08</v>
      </c>
      <c r="AC63">
        <v>0.05</v>
      </c>
      <c r="AD63">
        <v>0.4</v>
      </c>
    </row>
    <row r="64" spans="1:30" x14ac:dyDescent="0.3">
      <c r="A64" t="s">
        <v>7</v>
      </c>
      <c r="B64" t="s">
        <v>8</v>
      </c>
      <c r="C64" t="s">
        <v>13</v>
      </c>
      <c r="D64">
        <v>900</v>
      </c>
      <c r="E64">
        <v>120</v>
      </c>
      <c r="F64">
        <v>2</v>
      </c>
      <c r="G64">
        <v>25</v>
      </c>
      <c r="H64">
        <v>1</v>
      </c>
      <c r="I64" t="s">
        <v>21</v>
      </c>
      <c r="J64">
        <v>25</v>
      </c>
      <c r="K64">
        <v>1</v>
      </c>
      <c r="L64">
        <v>181</v>
      </c>
      <c r="M64">
        <v>-1</v>
      </c>
      <c r="N64">
        <v>10000000</v>
      </c>
      <c r="O64">
        <v>580</v>
      </c>
      <c r="P64">
        <v>0.61625969192544583</v>
      </c>
      <c r="Q64" s="11">
        <v>7.0318237934689411E-7</v>
      </c>
      <c r="R64" s="11">
        <v>25</v>
      </c>
      <c r="S64">
        <v>6.75</v>
      </c>
      <c r="T64">
        <v>0</v>
      </c>
      <c r="U64">
        <v>0</v>
      </c>
      <c r="V64">
        <v>0</v>
      </c>
      <c r="W64">
        <v>0</v>
      </c>
      <c r="X64">
        <v>4.5</v>
      </c>
      <c r="Y64">
        <v>0</v>
      </c>
      <c r="Z64">
        <v>1.4999999999999999E-2</v>
      </c>
      <c r="AA64">
        <v>0.2</v>
      </c>
      <c r="AB64">
        <v>0.08</v>
      </c>
      <c r="AC64">
        <v>0.05</v>
      </c>
      <c r="AD64">
        <v>0.4</v>
      </c>
    </row>
    <row r="65" spans="1:30" x14ac:dyDescent="0.3">
      <c r="A65" t="s">
        <v>7</v>
      </c>
      <c r="B65" t="s">
        <v>14</v>
      </c>
      <c r="C65" t="s">
        <v>9</v>
      </c>
      <c r="D65">
        <v>25</v>
      </c>
      <c r="E65">
        <v>76</v>
      </c>
      <c r="F65">
        <v>2</v>
      </c>
      <c r="G65">
        <v>700</v>
      </c>
      <c r="H65">
        <v>1</v>
      </c>
      <c r="I65" t="s">
        <v>21</v>
      </c>
      <c r="J65">
        <v>25</v>
      </c>
      <c r="K65">
        <v>1</v>
      </c>
      <c r="L65">
        <v>181</v>
      </c>
      <c r="M65">
        <v>0.2</v>
      </c>
      <c r="N65">
        <v>200000</v>
      </c>
      <c r="O65">
        <v>100</v>
      </c>
      <c r="P65">
        <v>0.61179755234275957</v>
      </c>
      <c r="Q65" s="11">
        <v>6.6355183676397996E-7</v>
      </c>
      <c r="R65" s="11">
        <v>25</v>
      </c>
      <c r="S65">
        <v>6.75</v>
      </c>
      <c r="T65">
        <v>0</v>
      </c>
      <c r="U65">
        <v>0</v>
      </c>
      <c r="V65">
        <v>0</v>
      </c>
      <c r="W65">
        <v>0</v>
      </c>
      <c r="X65">
        <v>4.5</v>
      </c>
      <c r="Y65">
        <v>0</v>
      </c>
      <c r="Z65">
        <v>1.4999999999999999E-2</v>
      </c>
      <c r="AA65">
        <v>0.2</v>
      </c>
      <c r="AB65">
        <v>0.08</v>
      </c>
      <c r="AC65">
        <v>0.05</v>
      </c>
      <c r="AD65">
        <v>0.4</v>
      </c>
    </row>
    <row r="66" spans="1:30" x14ac:dyDescent="0.3">
      <c r="A66" t="s">
        <v>7</v>
      </c>
      <c r="B66" t="s">
        <v>8</v>
      </c>
      <c r="C66" t="s">
        <v>9</v>
      </c>
      <c r="D66">
        <v>25</v>
      </c>
      <c r="E66">
        <v>76</v>
      </c>
      <c r="F66">
        <v>2</v>
      </c>
      <c r="G66">
        <v>800</v>
      </c>
      <c r="H66">
        <v>2</v>
      </c>
      <c r="I66" t="s">
        <v>21</v>
      </c>
      <c r="J66">
        <v>25</v>
      </c>
      <c r="K66">
        <v>1</v>
      </c>
      <c r="L66">
        <v>181</v>
      </c>
      <c r="M66">
        <v>-1</v>
      </c>
      <c r="N66">
        <v>10000000</v>
      </c>
      <c r="O66">
        <v>88</v>
      </c>
      <c r="P66">
        <v>0.61625969192544583</v>
      </c>
      <c r="Q66" s="11">
        <v>6.6075853841333952E-7</v>
      </c>
      <c r="R66" s="11">
        <v>25</v>
      </c>
      <c r="S66">
        <v>6.75</v>
      </c>
      <c r="T66">
        <v>0</v>
      </c>
      <c r="U66">
        <v>0</v>
      </c>
      <c r="V66">
        <v>0</v>
      </c>
      <c r="W66">
        <v>0</v>
      </c>
      <c r="X66">
        <v>4.5</v>
      </c>
      <c r="Y66">
        <v>0</v>
      </c>
      <c r="Z66">
        <v>1.4999999999999999E-2</v>
      </c>
      <c r="AA66">
        <v>0.2</v>
      </c>
      <c r="AB66">
        <v>0.08</v>
      </c>
      <c r="AC66">
        <v>0.05</v>
      </c>
      <c r="AD66">
        <v>0.4</v>
      </c>
    </row>
    <row r="67" spans="1:30" x14ac:dyDescent="0.3">
      <c r="A67" t="s">
        <v>7</v>
      </c>
      <c r="B67" t="s">
        <v>8</v>
      </c>
      <c r="C67" t="s">
        <v>13</v>
      </c>
      <c r="D67">
        <v>920</v>
      </c>
      <c r="E67">
        <v>100</v>
      </c>
      <c r="F67">
        <v>2</v>
      </c>
      <c r="G67">
        <v>25</v>
      </c>
      <c r="H67">
        <v>1</v>
      </c>
      <c r="I67" t="s">
        <v>21</v>
      </c>
      <c r="J67">
        <v>25</v>
      </c>
      <c r="K67">
        <v>1</v>
      </c>
      <c r="L67">
        <v>181</v>
      </c>
      <c r="M67">
        <v>-1</v>
      </c>
      <c r="N67">
        <v>10000000</v>
      </c>
      <c r="O67">
        <v>250</v>
      </c>
      <c r="P67">
        <v>0.73537358108759721</v>
      </c>
      <c r="Q67" s="11">
        <v>6.8392247538457671E-7</v>
      </c>
      <c r="R67" s="11">
        <v>25</v>
      </c>
      <c r="S67">
        <v>6.75</v>
      </c>
      <c r="T67">
        <v>0</v>
      </c>
      <c r="U67">
        <v>0</v>
      </c>
      <c r="V67">
        <v>0</v>
      </c>
      <c r="W67">
        <v>0</v>
      </c>
      <c r="X67">
        <v>4.5</v>
      </c>
      <c r="Y67">
        <v>0</v>
      </c>
      <c r="Z67">
        <v>1.4999999999999999E-2</v>
      </c>
      <c r="AA67">
        <v>0.2</v>
      </c>
      <c r="AB67">
        <v>0.08</v>
      </c>
      <c r="AC67">
        <v>0.05</v>
      </c>
      <c r="AD67">
        <v>0.4</v>
      </c>
    </row>
    <row r="68" spans="1:30" x14ac:dyDescent="0.3">
      <c r="A68" t="s">
        <v>7</v>
      </c>
      <c r="B68" t="s">
        <v>8</v>
      </c>
      <c r="C68" t="s">
        <v>4</v>
      </c>
      <c r="D68">
        <v>25</v>
      </c>
      <c r="E68">
        <v>76</v>
      </c>
      <c r="F68">
        <v>2</v>
      </c>
      <c r="G68">
        <v>920</v>
      </c>
      <c r="H68">
        <v>2</v>
      </c>
      <c r="I68" t="s">
        <v>5</v>
      </c>
      <c r="J68">
        <v>670</v>
      </c>
      <c r="K68">
        <v>4</v>
      </c>
      <c r="L68">
        <v>75</v>
      </c>
      <c r="M68">
        <v>-1</v>
      </c>
      <c r="N68">
        <v>10000000</v>
      </c>
      <c r="O68">
        <v>590</v>
      </c>
      <c r="P68">
        <v>0.5859424772788725</v>
      </c>
      <c r="Q68" s="11">
        <v>7.0357916789648109E-7</v>
      </c>
      <c r="R68" s="11">
        <v>25</v>
      </c>
      <c r="S68">
        <v>6.75</v>
      </c>
      <c r="T68">
        <v>0</v>
      </c>
      <c r="U68">
        <v>0</v>
      </c>
      <c r="V68">
        <v>0</v>
      </c>
      <c r="W68">
        <v>0</v>
      </c>
      <c r="X68">
        <v>4.5</v>
      </c>
      <c r="Y68">
        <v>0</v>
      </c>
      <c r="Z68">
        <v>1.4999999999999999E-2</v>
      </c>
      <c r="AA68">
        <v>0.2</v>
      </c>
      <c r="AB68">
        <v>0.08</v>
      </c>
      <c r="AC68">
        <v>0.05</v>
      </c>
      <c r="AD68">
        <v>0.4</v>
      </c>
    </row>
    <row r="69" spans="1:30" x14ac:dyDescent="0.3">
      <c r="A69" t="s">
        <v>7</v>
      </c>
      <c r="B69" t="s">
        <v>10</v>
      </c>
      <c r="C69" t="s">
        <v>6</v>
      </c>
      <c r="D69">
        <v>25</v>
      </c>
      <c r="E69">
        <v>76</v>
      </c>
      <c r="F69">
        <v>2</v>
      </c>
      <c r="G69">
        <v>25</v>
      </c>
      <c r="H69">
        <v>1</v>
      </c>
      <c r="I69" t="s">
        <v>21</v>
      </c>
      <c r="J69">
        <v>25</v>
      </c>
      <c r="K69">
        <v>1</v>
      </c>
      <c r="L69">
        <v>75</v>
      </c>
      <c r="M69">
        <v>-1</v>
      </c>
      <c r="N69">
        <v>10000000</v>
      </c>
      <c r="O69">
        <v>590</v>
      </c>
      <c r="P69">
        <v>0.61625969192544583</v>
      </c>
      <c r="Q69" s="11">
        <v>7.0357916789648109E-7</v>
      </c>
      <c r="R69" s="11">
        <v>25</v>
      </c>
      <c r="S69">
        <v>6.75</v>
      </c>
      <c r="T69">
        <v>0</v>
      </c>
      <c r="U69">
        <v>0</v>
      </c>
      <c r="V69">
        <v>0</v>
      </c>
      <c r="W69">
        <v>0</v>
      </c>
      <c r="X69">
        <v>4.5</v>
      </c>
      <c r="Y69">
        <v>0</v>
      </c>
      <c r="Z69">
        <v>1.4999999999999999E-2</v>
      </c>
      <c r="AA69">
        <v>0.2</v>
      </c>
      <c r="AB69">
        <v>0.08</v>
      </c>
      <c r="AC69">
        <v>0.05</v>
      </c>
      <c r="AD69">
        <v>0.4</v>
      </c>
    </row>
    <row r="70" spans="1:30" x14ac:dyDescent="0.3">
      <c r="A70" t="s">
        <v>7</v>
      </c>
      <c r="B70" t="s">
        <v>11</v>
      </c>
      <c r="C70" t="s">
        <v>9</v>
      </c>
      <c r="D70">
        <v>25</v>
      </c>
      <c r="E70">
        <v>76</v>
      </c>
      <c r="F70">
        <v>1</v>
      </c>
      <c r="G70">
        <v>600</v>
      </c>
      <c r="H70">
        <v>1</v>
      </c>
      <c r="I70" t="s">
        <v>21</v>
      </c>
      <c r="J70">
        <v>25</v>
      </c>
      <c r="K70">
        <v>1</v>
      </c>
      <c r="L70">
        <v>75</v>
      </c>
      <c r="M70">
        <v>-1</v>
      </c>
      <c r="N70">
        <v>10000000</v>
      </c>
      <c r="O70">
        <v>590</v>
      </c>
      <c r="P70">
        <v>0.61625969192544583</v>
      </c>
      <c r="Q70" s="11">
        <v>7.0357916789648109E-7</v>
      </c>
      <c r="R70" s="11">
        <v>25</v>
      </c>
      <c r="S70">
        <v>6.75</v>
      </c>
      <c r="T70">
        <v>0</v>
      </c>
      <c r="U70">
        <v>0</v>
      </c>
      <c r="V70">
        <v>0</v>
      </c>
      <c r="W70">
        <v>0</v>
      </c>
      <c r="X70">
        <v>4.5</v>
      </c>
      <c r="Y70">
        <v>0</v>
      </c>
      <c r="Z70">
        <v>1.4999999999999999E-2</v>
      </c>
      <c r="AA70">
        <v>0.2</v>
      </c>
      <c r="AB70">
        <v>0.08</v>
      </c>
      <c r="AC70">
        <v>0.05</v>
      </c>
      <c r="AD70">
        <v>0.4</v>
      </c>
    </row>
    <row r="71" spans="1:30" x14ac:dyDescent="0.3">
      <c r="A71" t="s">
        <v>7</v>
      </c>
      <c r="B71" t="s">
        <v>12</v>
      </c>
      <c r="C71" t="s">
        <v>13</v>
      </c>
      <c r="D71">
        <v>920</v>
      </c>
      <c r="E71">
        <v>103</v>
      </c>
      <c r="F71">
        <v>2</v>
      </c>
      <c r="G71">
        <v>25</v>
      </c>
      <c r="H71">
        <v>1</v>
      </c>
      <c r="I71" t="s">
        <v>21</v>
      </c>
      <c r="J71">
        <v>25</v>
      </c>
      <c r="K71">
        <v>1</v>
      </c>
      <c r="L71">
        <v>75</v>
      </c>
      <c r="M71">
        <v>-1</v>
      </c>
      <c r="N71">
        <v>10000000</v>
      </c>
      <c r="O71">
        <v>590</v>
      </c>
      <c r="P71">
        <v>0.61625969192544583</v>
      </c>
      <c r="Q71" s="11">
        <v>7.0357916789648109E-7</v>
      </c>
      <c r="R71" s="11">
        <v>25</v>
      </c>
      <c r="S71">
        <v>6.75</v>
      </c>
      <c r="T71">
        <v>0</v>
      </c>
      <c r="U71">
        <v>0</v>
      </c>
      <c r="V71">
        <v>0</v>
      </c>
      <c r="W71">
        <v>0</v>
      </c>
      <c r="X71">
        <v>4.5</v>
      </c>
      <c r="Y71">
        <v>0</v>
      </c>
      <c r="Z71">
        <v>1.4999999999999999E-2</v>
      </c>
      <c r="AA71">
        <v>0.2</v>
      </c>
      <c r="AB71">
        <v>0.08</v>
      </c>
      <c r="AC71">
        <v>0.05</v>
      </c>
      <c r="AD71">
        <v>0.4</v>
      </c>
    </row>
    <row r="72" spans="1:30" x14ac:dyDescent="0.3">
      <c r="A72" t="s">
        <v>7</v>
      </c>
      <c r="B72" t="s">
        <v>14</v>
      </c>
      <c r="C72" t="s">
        <v>9</v>
      </c>
      <c r="D72">
        <v>25</v>
      </c>
      <c r="E72">
        <v>76</v>
      </c>
      <c r="F72">
        <v>1</v>
      </c>
      <c r="G72">
        <v>730</v>
      </c>
      <c r="H72">
        <v>2</v>
      </c>
      <c r="I72" t="s">
        <v>21</v>
      </c>
      <c r="J72">
        <v>25</v>
      </c>
      <c r="K72">
        <v>1</v>
      </c>
      <c r="L72">
        <v>75</v>
      </c>
      <c r="M72">
        <v>-1</v>
      </c>
      <c r="N72">
        <v>10000000</v>
      </c>
      <c r="O72">
        <v>590</v>
      </c>
      <c r="P72">
        <v>0.61625969192544583</v>
      </c>
      <c r="Q72" s="11">
        <v>7.0357916789648109E-7</v>
      </c>
      <c r="R72" s="11">
        <v>25</v>
      </c>
      <c r="S72">
        <v>6.75</v>
      </c>
      <c r="T72">
        <v>0</v>
      </c>
      <c r="U72">
        <v>0</v>
      </c>
      <c r="V72">
        <v>0</v>
      </c>
      <c r="W72">
        <v>0</v>
      </c>
      <c r="X72">
        <v>4.5</v>
      </c>
      <c r="Y72">
        <v>0</v>
      </c>
      <c r="Z72">
        <v>1.4999999999999999E-2</v>
      </c>
      <c r="AA72">
        <v>0.2</v>
      </c>
      <c r="AB72">
        <v>0.08</v>
      </c>
      <c r="AC72">
        <v>0.05</v>
      </c>
      <c r="AD72">
        <v>0.4</v>
      </c>
    </row>
    <row r="73" spans="1:30" x14ac:dyDescent="0.3">
      <c r="A73" t="s">
        <v>7</v>
      </c>
      <c r="B73" t="s">
        <v>8</v>
      </c>
      <c r="C73" t="s">
        <v>9</v>
      </c>
      <c r="D73">
        <v>25</v>
      </c>
      <c r="E73">
        <v>76</v>
      </c>
      <c r="F73">
        <v>1</v>
      </c>
      <c r="G73">
        <v>500</v>
      </c>
      <c r="H73">
        <v>2</v>
      </c>
      <c r="I73" t="s">
        <v>21</v>
      </c>
      <c r="J73">
        <v>25</v>
      </c>
      <c r="K73">
        <v>1</v>
      </c>
      <c r="L73">
        <v>75</v>
      </c>
      <c r="M73">
        <v>-1</v>
      </c>
      <c r="N73">
        <v>10000000</v>
      </c>
      <c r="O73">
        <v>590</v>
      </c>
      <c r="P73">
        <v>0.61179755234275957</v>
      </c>
      <c r="Q73" s="11">
        <v>7.0357916789648109E-7</v>
      </c>
      <c r="R73" s="11">
        <v>25</v>
      </c>
      <c r="S73">
        <v>6.75</v>
      </c>
      <c r="T73">
        <v>0</v>
      </c>
      <c r="U73">
        <v>0</v>
      </c>
      <c r="V73">
        <v>0</v>
      </c>
      <c r="W73">
        <v>0</v>
      </c>
      <c r="X73">
        <v>4.5</v>
      </c>
      <c r="Y73">
        <v>0</v>
      </c>
      <c r="Z73">
        <v>1.4999999999999999E-2</v>
      </c>
      <c r="AA73">
        <v>0.2</v>
      </c>
      <c r="AB73">
        <v>0.08</v>
      </c>
      <c r="AC73">
        <v>0.05</v>
      </c>
      <c r="AD73">
        <v>0.4</v>
      </c>
    </row>
    <row r="74" spans="1:30" x14ac:dyDescent="0.3">
      <c r="A74" t="s">
        <v>7</v>
      </c>
      <c r="B74" t="s">
        <v>8</v>
      </c>
      <c r="C74" t="s">
        <v>13</v>
      </c>
      <c r="D74">
        <v>900</v>
      </c>
      <c r="E74">
        <v>120</v>
      </c>
      <c r="F74">
        <v>2</v>
      </c>
      <c r="G74">
        <v>25</v>
      </c>
      <c r="H74">
        <v>1</v>
      </c>
      <c r="I74" t="s">
        <v>21</v>
      </c>
      <c r="J74">
        <v>25</v>
      </c>
      <c r="K74">
        <v>1</v>
      </c>
      <c r="L74">
        <v>75</v>
      </c>
      <c r="M74">
        <v>-1</v>
      </c>
      <c r="N74">
        <v>10000000</v>
      </c>
      <c r="O74">
        <v>590</v>
      </c>
      <c r="P74">
        <v>0.61625969192544583</v>
      </c>
      <c r="Q74" s="11">
        <v>7.0357916789648109E-7</v>
      </c>
      <c r="R74" s="11">
        <v>25</v>
      </c>
      <c r="S74">
        <v>6.75</v>
      </c>
      <c r="T74">
        <v>0</v>
      </c>
      <c r="U74">
        <v>0</v>
      </c>
      <c r="V74">
        <v>0</v>
      </c>
      <c r="W74">
        <v>0</v>
      </c>
      <c r="X74">
        <v>4.5</v>
      </c>
      <c r="Y74">
        <v>0</v>
      </c>
      <c r="Z74">
        <v>1.4999999999999999E-2</v>
      </c>
      <c r="AA74">
        <v>0.2</v>
      </c>
      <c r="AB74">
        <v>0.08</v>
      </c>
      <c r="AC74">
        <v>0.05</v>
      </c>
      <c r="AD74">
        <v>0.4</v>
      </c>
    </row>
    <row r="75" spans="1:30" x14ac:dyDescent="0.3">
      <c r="A75" t="s">
        <v>7</v>
      </c>
      <c r="B75" t="s">
        <v>8</v>
      </c>
      <c r="C75" t="s">
        <v>13</v>
      </c>
      <c r="D75">
        <v>900</v>
      </c>
      <c r="E75">
        <v>120</v>
      </c>
      <c r="F75">
        <v>2</v>
      </c>
      <c r="G75">
        <v>25</v>
      </c>
      <c r="H75">
        <v>1</v>
      </c>
      <c r="I75" t="s">
        <v>21</v>
      </c>
      <c r="J75">
        <v>25</v>
      </c>
      <c r="K75">
        <v>1</v>
      </c>
      <c r="L75">
        <v>75</v>
      </c>
      <c r="M75">
        <v>-1</v>
      </c>
      <c r="N75">
        <v>10000000</v>
      </c>
      <c r="O75">
        <v>590</v>
      </c>
      <c r="P75">
        <v>0.61625969192544583</v>
      </c>
      <c r="Q75" s="11">
        <v>7.0357916789648109E-7</v>
      </c>
      <c r="R75" s="11">
        <v>25</v>
      </c>
      <c r="S75">
        <v>6.75</v>
      </c>
      <c r="T75">
        <v>0</v>
      </c>
      <c r="U75">
        <v>0</v>
      </c>
      <c r="V75">
        <v>0</v>
      </c>
      <c r="W75">
        <v>0</v>
      </c>
      <c r="X75">
        <v>4.5</v>
      </c>
      <c r="Y75">
        <v>0</v>
      </c>
      <c r="Z75">
        <v>1.4999999999999999E-2</v>
      </c>
      <c r="AA75">
        <v>0.2</v>
      </c>
      <c r="AB75">
        <v>0.08</v>
      </c>
      <c r="AC75">
        <v>0.05</v>
      </c>
      <c r="AD75">
        <v>0.4</v>
      </c>
    </row>
    <row r="76" spans="1:30" x14ac:dyDescent="0.3">
      <c r="A76" t="s">
        <v>7</v>
      </c>
      <c r="B76" t="s">
        <v>8</v>
      </c>
      <c r="C76" t="s">
        <v>15</v>
      </c>
      <c r="D76">
        <v>25</v>
      </c>
      <c r="E76">
        <v>76</v>
      </c>
      <c r="F76">
        <v>1</v>
      </c>
      <c r="G76">
        <v>650</v>
      </c>
      <c r="H76">
        <v>3</v>
      </c>
      <c r="I76" t="s">
        <v>21</v>
      </c>
      <c r="J76">
        <v>25</v>
      </c>
      <c r="K76">
        <v>1</v>
      </c>
      <c r="L76">
        <v>75</v>
      </c>
      <c r="M76">
        <v>-1</v>
      </c>
      <c r="N76">
        <v>10000000</v>
      </c>
      <c r="O76">
        <v>590</v>
      </c>
      <c r="P76">
        <v>0.61625969192544583</v>
      </c>
      <c r="Q76" s="11">
        <v>7.0357916789648109E-7</v>
      </c>
      <c r="R76" s="11">
        <v>25</v>
      </c>
      <c r="S76">
        <v>6.75</v>
      </c>
      <c r="T76">
        <v>0</v>
      </c>
      <c r="U76">
        <v>0</v>
      </c>
      <c r="V76">
        <v>0</v>
      </c>
      <c r="W76">
        <v>0</v>
      </c>
      <c r="X76">
        <v>4.5</v>
      </c>
      <c r="Y76">
        <v>0</v>
      </c>
      <c r="Z76">
        <v>1.4999999999999999E-2</v>
      </c>
      <c r="AA76">
        <v>0.2</v>
      </c>
      <c r="AB76">
        <v>0.08</v>
      </c>
      <c r="AC76">
        <v>0.05</v>
      </c>
      <c r="AD76">
        <v>0.4</v>
      </c>
    </row>
    <row r="77" spans="1:30" x14ac:dyDescent="0.3">
      <c r="A77" t="s">
        <v>7</v>
      </c>
      <c r="B77" t="s">
        <v>14</v>
      </c>
      <c r="C77" t="s">
        <v>9</v>
      </c>
      <c r="D77">
        <v>25</v>
      </c>
      <c r="E77">
        <v>76</v>
      </c>
      <c r="F77">
        <v>1</v>
      </c>
      <c r="G77">
        <v>700</v>
      </c>
      <c r="H77">
        <v>1</v>
      </c>
      <c r="I77" t="s">
        <v>21</v>
      </c>
      <c r="J77">
        <v>25</v>
      </c>
      <c r="K77">
        <v>1</v>
      </c>
      <c r="L77">
        <v>75</v>
      </c>
      <c r="M77">
        <v>-1</v>
      </c>
      <c r="N77">
        <v>10000000</v>
      </c>
      <c r="O77">
        <v>590</v>
      </c>
      <c r="P77">
        <v>0.53152886883138439</v>
      </c>
      <c r="Q77" s="11">
        <v>7.0357916789648109E-7</v>
      </c>
      <c r="R77" s="11">
        <v>25</v>
      </c>
      <c r="S77">
        <v>6.75</v>
      </c>
      <c r="T77">
        <v>0</v>
      </c>
      <c r="U77">
        <v>0</v>
      </c>
      <c r="V77">
        <v>0</v>
      </c>
      <c r="W77">
        <v>0</v>
      </c>
      <c r="X77">
        <v>4.5</v>
      </c>
      <c r="Y77">
        <v>0</v>
      </c>
      <c r="Z77">
        <v>1.4999999999999999E-2</v>
      </c>
      <c r="AA77">
        <v>0.2</v>
      </c>
      <c r="AB77">
        <v>0.08</v>
      </c>
      <c r="AC77">
        <v>0.05</v>
      </c>
      <c r="AD77">
        <v>0.4</v>
      </c>
    </row>
    <row r="78" spans="1:30" x14ac:dyDescent="0.3">
      <c r="A78" t="s">
        <v>7</v>
      </c>
      <c r="B78" t="s">
        <v>8</v>
      </c>
      <c r="C78" t="s">
        <v>9</v>
      </c>
      <c r="D78">
        <v>25</v>
      </c>
      <c r="E78">
        <v>76</v>
      </c>
      <c r="F78">
        <v>1</v>
      </c>
      <c r="G78">
        <v>800</v>
      </c>
      <c r="H78">
        <v>2</v>
      </c>
      <c r="I78" t="s">
        <v>21</v>
      </c>
      <c r="J78">
        <v>25</v>
      </c>
      <c r="K78">
        <v>1</v>
      </c>
      <c r="L78">
        <v>75</v>
      </c>
      <c r="M78">
        <v>-1</v>
      </c>
      <c r="N78">
        <v>10000000</v>
      </c>
      <c r="O78">
        <v>590</v>
      </c>
      <c r="P78">
        <v>0.61179755234275957</v>
      </c>
      <c r="Q78" s="11">
        <v>7.0357916789648109E-7</v>
      </c>
      <c r="R78" s="11">
        <v>25</v>
      </c>
      <c r="S78">
        <v>6.75</v>
      </c>
      <c r="T78">
        <v>0</v>
      </c>
      <c r="U78">
        <v>0</v>
      </c>
      <c r="V78">
        <v>0</v>
      </c>
      <c r="W78">
        <v>0</v>
      </c>
      <c r="X78">
        <v>4.5</v>
      </c>
      <c r="Y78">
        <v>0</v>
      </c>
      <c r="Z78">
        <v>1.4999999999999999E-2</v>
      </c>
      <c r="AA78">
        <v>0.2</v>
      </c>
      <c r="AB78">
        <v>0.08</v>
      </c>
      <c r="AC78">
        <v>0.05</v>
      </c>
      <c r="AD78">
        <v>0.4</v>
      </c>
    </row>
    <row r="79" spans="1:30" x14ac:dyDescent="0.3">
      <c r="A79" t="s">
        <v>7</v>
      </c>
      <c r="B79" t="s">
        <v>8</v>
      </c>
      <c r="C79" t="s">
        <v>13</v>
      </c>
      <c r="D79">
        <v>920</v>
      </c>
      <c r="E79">
        <v>100</v>
      </c>
      <c r="F79">
        <v>2</v>
      </c>
      <c r="G79">
        <v>25</v>
      </c>
      <c r="H79">
        <v>1</v>
      </c>
      <c r="I79" t="s">
        <v>21</v>
      </c>
      <c r="J79">
        <v>25</v>
      </c>
      <c r="K79">
        <v>1</v>
      </c>
      <c r="L79">
        <v>75</v>
      </c>
      <c r="M79">
        <v>-1</v>
      </c>
      <c r="N79">
        <v>10000000</v>
      </c>
      <c r="O79">
        <v>590</v>
      </c>
      <c r="P79">
        <v>0.61179755234275957</v>
      </c>
      <c r="Q79" s="11">
        <v>7.0357916789648109E-7</v>
      </c>
      <c r="R79" s="11">
        <v>25</v>
      </c>
      <c r="S79">
        <v>6.75</v>
      </c>
      <c r="T79">
        <v>0</v>
      </c>
      <c r="U79">
        <v>0</v>
      </c>
      <c r="V79">
        <v>0</v>
      </c>
      <c r="W79">
        <v>0</v>
      </c>
      <c r="X79">
        <v>4.5</v>
      </c>
      <c r="Y79">
        <v>0</v>
      </c>
      <c r="Z79">
        <v>1.4999999999999999E-2</v>
      </c>
      <c r="AA79">
        <v>0.2</v>
      </c>
      <c r="AB79">
        <v>0.08</v>
      </c>
      <c r="AC79">
        <v>0.05</v>
      </c>
      <c r="AD79">
        <v>0.4</v>
      </c>
    </row>
    <row r="80" spans="1:30" x14ac:dyDescent="0.3">
      <c r="A80" t="s">
        <v>7</v>
      </c>
      <c r="B80" t="s">
        <v>16</v>
      </c>
      <c r="C80" t="s">
        <v>6</v>
      </c>
      <c r="D80">
        <v>25</v>
      </c>
      <c r="E80">
        <v>76</v>
      </c>
      <c r="F80">
        <v>2</v>
      </c>
      <c r="G80">
        <v>25</v>
      </c>
      <c r="H80">
        <v>1</v>
      </c>
      <c r="I80" t="s">
        <v>21</v>
      </c>
      <c r="J80">
        <v>25</v>
      </c>
      <c r="K80">
        <v>1</v>
      </c>
      <c r="L80">
        <v>75</v>
      </c>
      <c r="M80">
        <v>-1</v>
      </c>
      <c r="N80">
        <v>10000000</v>
      </c>
      <c r="O80">
        <v>590</v>
      </c>
      <c r="P80">
        <v>0.61179755234275957</v>
      </c>
      <c r="Q80" s="11">
        <v>7.0357916789648109E-7</v>
      </c>
      <c r="R80" s="11">
        <v>25</v>
      </c>
      <c r="S80">
        <v>6.75</v>
      </c>
      <c r="T80">
        <v>0</v>
      </c>
      <c r="U80">
        <v>0</v>
      </c>
      <c r="V80">
        <v>0</v>
      </c>
      <c r="W80">
        <v>0</v>
      </c>
      <c r="X80">
        <v>4.5</v>
      </c>
      <c r="Y80">
        <v>0</v>
      </c>
      <c r="Z80">
        <v>1.4999999999999999E-2</v>
      </c>
      <c r="AA80">
        <v>0.2</v>
      </c>
      <c r="AB80">
        <v>0.08</v>
      </c>
      <c r="AC80">
        <v>0.05</v>
      </c>
      <c r="AD80">
        <v>0.4</v>
      </c>
    </row>
    <row r="81" spans="1:30" x14ac:dyDescent="0.3">
      <c r="A81" t="s">
        <v>7</v>
      </c>
      <c r="B81" t="s">
        <v>8</v>
      </c>
      <c r="C81" t="s">
        <v>17</v>
      </c>
      <c r="D81">
        <v>920</v>
      </c>
      <c r="E81">
        <v>100</v>
      </c>
      <c r="F81">
        <v>2</v>
      </c>
      <c r="G81">
        <v>800</v>
      </c>
      <c r="H81">
        <v>2</v>
      </c>
      <c r="I81" t="s">
        <v>21</v>
      </c>
      <c r="J81">
        <v>25</v>
      </c>
      <c r="K81">
        <v>1</v>
      </c>
      <c r="L81">
        <v>75</v>
      </c>
      <c r="M81">
        <v>-1</v>
      </c>
      <c r="N81">
        <v>10000000</v>
      </c>
      <c r="O81">
        <v>590</v>
      </c>
      <c r="P81">
        <v>0.61179755234275957</v>
      </c>
      <c r="Q81" s="11">
        <v>7.0357916789648109E-7</v>
      </c>
      <c r="R81" s="11">
        <v>25</v>
      </c>
      <c r="S81">
        <v>6.75</v>
      </c>
      <c r="T81">
        <v>0</v>
      </c>
      <c r="U81">
        <v>0</v>
      </c>
      <c r="V81">
        <v>0</v>
      </c>
      <c r="W81">
        <v>0</v>
      </c>
      <c r="X81">
        <v>4.5</v>
      </c>
      <c r="Y81">
        <v>0</v>
      </c>
      <c r="Z81">
        <v>1.4999999999999999E-2</v>
      </c>
      <c r="AA81">
        <v>0.2</v>
      </c>
      <c r="AB81">
        <v>0.08</v>
      </c>
      <c r="AC81">
        <v>0.05</v>
      </c>
      <c r="AD81">
        <v>0.4</v>
      </c>
    </row>
    <row r="82" spans="1:30" x14ac:dyDescent="0.3">
      <c r="A82" t="s">
        <v>7</v>
      </c>
      <c r="B82" t="s">
        <v>8</v>
      </c>
      <c r="C82" t="s">
        <v>18</v>
      </c>
      <c r="D82">
        <v>920</v>
      </c>
      <c r="E82">
        <v>100</v>
      </c>
      <c r="F82">
        <v>2</v>
      </c>
      <c r="G82">
        <v>800</v>
      </c>
      <c r="H82">
        <v>2</v>
      </c>
      <c r="I82" t="s">
        <v>21</v>
      </c>
      <c r="J82">
        <v>25</v>
      </c>
      <c r="K82">
        <v>1</v>
      </c>
      <c r="L82">
        <v>75</v>
      </c>
      <c r="M82">
        <v>-1</v>
      </c>
      <c r="N82">
        <v>10000000</v>
      </c>
      <c r="O82">
        <v>590</v>
      </c>
      <c r="P82">
        <v>0.61179755234275957</v>
      </c>
      <c r="Q82" s="11">
        <v>7.0357916789648109E-7</v>
      </c>
      <c r="R82" s="11">
        <v>25</v>
      </c>
      <c r="S82">
        <v>6.75</v>
      </c>
      <c r="T82">
        <v>0</v>
      </c>
      <c r="U82">
        <v>0</v>
      </c>
      <c r="V82">
        <v>0</v>
      </c>
      <c r="W82">
        <v>0</v>
      </c>
      <c r="X82">
        <v>4.5</v>
      </c>
      <c r="Y82">
        <v>0</v>
      </c>
      <c r="Z82">
        <v>1.4999999999999999E-2</v>
      </c>
      <c r="AA82">
        <v>0.2</v>
      </c>
      <c r="AB82">
        <v>0.08</v>
      </c>
      <c r="AC82">
        <v>0.05</v>
      </c>
      <c r="AD82">
        <v>0.4</v>
      </c>
    </row>
    <row r="83" spans="1:30" x14ac:dyDescent="0.3">
      <c r="A83" t="s">
        <v>7</v>
      </c>
      <c r="B83" t="s">
        <v>8</v>
      </c>
      <c r="C83" t="s">
        <v>6</v>
      </c>
      <c r="D83">
        <v>25</v>
      </c>
      <c r="E83">
        <v>76</v>
      </c>
      <c r="F83">
        <v>2</v>
      </c>
      <c r="G83">
        <v>25</v>
      </c>
      <c r="H83">
        <v>1</v>
      </c>
      <c r="I83" t="s">
        <v>21</v>
      </c>
      <c r="J83">
        <v>25</v>
      </c>
      <c r="K83">
        <v>1</v>
      </c>
      <c r="L83">
        <v>75</v>
      </c>
      <c r="M83">
        <v>-1</v>
      </c>
      <c r="N83">
        <v>10000000</v>
      </c>
      <c r="O83">
        <v>590</v>
      </c>
      <c r="P83">
        <v>0.61179755234275957</v>
      </c>
      <c r="Q83" s="11">
        <v>7.0357916789648109E-7</v>
      </c>
      <c r="R83" s="11">
        <v>25</v>
      </c>
      <c r="S83">
        <v>6.75</v>
      </c>
      <c r="T83">
        <v>0</v>
      </c>
      <c r="U83">
        <v>0</v>
      </c>
      <c r="V83">
        <v>0</v>
      </c>
      <c r="W83">
        <v>0</v>
      </c>
      <c r="X83">
        <v>4.5</v>
      </c>
      <c r="Y83">
        <v>0</v>
      </c>
      <c r="Z83">
        <v>1.4999999999999999E-2</v>
      </c>
      <c r="AA83">
        <v>0.2</v>
      </c>
      <c r="AB83">
        <v>0.08</v>
      </c>
      <c r="AC83">
        <v>0.05</v>
      </c>
      <c r="AD83">
        <v>0.4</v>
      </c>
    </row>
    <row r="84" spans="1:30" x14ac:dyDescent="0.3">
      <c r="A84" t="s">
        <v>7</v>
      </c>
      <c r="B84" t="s">
        <v>16</v>
      </c>
      <c r="C84" t="s">
        <v>6</v>
      </c>
      <c r="D84">
        <v>25</v>
      </c>
      <c r="E84">
        <v>76</v>
      </c>
      <c r="F84">
        <v>2</v>
      </c>
      <c r="G84">
        <v>25</v>
      </c>
      <c r="H84">
        <v>1</v>
      </c>
      <c r="I84" t="s">
        <v>21</v>
      </c>
      <c r="J84">
        <v>25</v>
      </c>
      <c r="K84">
        <v>1</v>
      </c>
      <c r="L84">
        <v>75</v>
      </c>
      <c r="M84">
        <v>-1</v>
      </c>
      <c r="N84">
        <v>10000000</v>
      </c>
      <c r="O84">
        <v>590</v>
      </c>
      <c r="P84">
        <v>0.61179755234275957</v>
      </c>
      <c r="Q84" s="11">
        <v>7.0357916789648109E-7</v>
      </c>
      <c r="R84" s="11">
        <v>25</v>
      </c>
      <c r="S84">
        <v>6.75</v>
      </c>
      <c r="T84">
        <v>0</v>
      </c>
      <c r="U84">
        <v>0</v>
      </c>
      <c r="V84">
        <v>0</v>
      </c>
      <c r="W84">
        <v>0</v>
      </c>
      <c r="X84">
        <v>4.5</v>
      </c>
      <c r="Y84">
        <v>0</v>
      </c>
      <c r="Z84">
        <v>1.4999999999999999E-2</v>
      </c>
      <c r="AA84">
        <v>0.2</v>
      </c>
      <c r="AB84">
        <v>0.08</v>
      </c>
      <c r="AC84">
        <v>0.05</v>
      </c>
      <c r="AD84">
        <v>0.4</v>
      </c>
    </row>
    <row r="85" spans="1:30" x14ac:dyDescent="0.3">
      <c r="A85" t="s">
        <v>7</v>
      </c>
      <c r="B85" t="s">
        <v>8</v>
      </c>
      <c r="C85" t="s">
        <v>4</v>
      </c>
      <c r="D85">
        <v>25</v>
      </c>
      <c r="E85">
        <v>76</v>
      </c>
      <c r="F85">
        <v>2</v>
      </c>
      <c r="G85">
        <v>920</v>
      </c>
      <c r="H85">
        <v>2</v>
      </c>
      <c r="I85" t="s">
        <v>5</v>
      </c>
      <c r="J85">
        <v>670</v>
      </c>
      <c r="K85">
        <v>4</v>
      </c>
      <c r="L85">
        <v>75</v>
      </c>
      <c r="M85">
        <v>-1</v>
      </c>
      <c r="N85">
        <v>10000000</v>
      </c>
      <c r="O85">
        <v>590</v>
      </c>
      <c r="P85">
        <v>0.58169985496347387</v>
      </c>
      <c r="Q85" s="11">
        <v>7.0357916789648109E-7</v>
      </c>
      <c r="R85" s="11">
        <v>25</v>
      </c>
      <c r="S85">
        <v>6.75</v>
      </c>
      <c r="T85">
        <v>0</v>
      </c>
      <c r="U85">
        <v>0</v>
      </c>
      <c r="V85">
        <v>0</v>
      </c>
      <c r="W85">
        <v>0</v>
      </c>
      <c r="X85">
        <v>4.5</v>
      </c>
      <c r="Y85">
        <v>0</v>
      </c>
      <c r="Z85">
        <v>1.4999999999999999E-2</v>
      </c>
      <c r="AA85">
        <v>0.2</v>
      </c>
      <c r="AB85">
        <v>0.08</v>
      </c>
      <c r="AC85">
        <v>0.05</v>
      </c>
      <c r="AD85">
        <v>0.4</v>
      </c>
    </row>
    <row r="86" spans="1:30" x14ac:dyDescent="0.3">
      <c r="A86" t="s">
        <v>7</v>
      </c>
      <c r="B86" t="s">
        <v>8</v>
      </c>
      <c r="C86" t="s">
        <v>17</v>
      </c>
      <c r="D86">
        <v>920</v>
      </c>
      <c r="E86">
        <v>200</v>
      </c>
      <c r="F86">
        <v>1</v>
      </c>
      <c r="G86">
        <v>670</v>
      </c>
      <c r="H86">
        <v>1</v>
      </c>
      <c r="I86" t="s">
        <v>21</v>
      </c>
      <c r="J86">
        <v>25</v>
      </c>
      <c r="K86">
        <v>1</v>
      </c>
      <c r="L86">
        <v>75</v>
      </c>
      <c r="M86">
        <v>-1</v>
      </c>
      <c r="N86">
        <v>10000000</v>
      </c>
      <c r="O86">
        <v>590</v>
      </c>
      <c r="P86">
        <v>0.61625969192544583</v>
      </c>
      <c r="Q86" s="11">
        <v>7.0357916789648109E-7</v>
      </c>
      <c r="R86" s="11">
        <v>25</v>
      </c>
      <c r="S86">
        <v>6.75</v>
      </c>
      <c r="T86">
        <v>0</v>
      </c>
      <c r="U86">
        <v>0</v>
      </c>
      <c r="V86">
        <v>0</v>
      </c>
      <c r="W86">
        <v>0</v>
      </c>
      <c r="X86">
        <v>4.5</v>
      </c>
      <c r="Y86">
        <v>0</v>
      </c>
      <c r="Z86">
        <v>1.4999999999999999E-2</v>
      </c>
      <c r="AA86">
        <v>0.2</v>
      </c>
      <c r="AB86">
        <v>0.08</v>
      </c>
      <c r="AC86">
        <v>0.05</v>
      </c>
      <c r="AD86">
        <v>0.4</v>
      </c>
    </row>
    <row r="87" spans="1:30" x14ac:dyDescent="0.3">
      <c r="A87" t="s">
        <v>7</v>
      </c>
      <c r="B87" t="s">
        <v>8</v>
      </c>
      <c r="C87" t="s">
        <v>17</v>
      </c>
      <c r="D87">
        <v>920</v>
      </c>
      <c r="E87">
        <v>200</v>
      </c>
      <c r="F87">
        <v>1</v>
      </c>
      <c r="G87">
        <v>670</v>
      </c>
      <c r="H87">
        <v>1</v>
      </c>
      <c r="I87" t="s">
        <v>21</v>
      </c>
      <c r="J87">
        <v>25</v>
      </c>
      <c r="K87">
        <v>1</v>
      </c>
      <c r="L87">
        <v>75</v>
      </c>
      <c r="M87">
        <v>-1</v>
      </c>
      <c r="N87">
        <v>10000000</v>
      </c>
      <c r="O87">
        <v>590</v>
      </c>
      <c r="P87">
        <v>0.61625969192544583</v>
      </c>
      <c r="Q87" s="11">
        <v>7.0357916789648109E-7</v>
      </c>
      <c r="R87" s="11">
        <v>25</v>
      </c>
      <c r="S87">
        <v>6.75</v>
      </c>
      <c r="T87">
        <v>0</v>
      </c>
      <c r="U87">
        <v>0</v>
      </c>
      <c r="V87">
        <v>0</v>
      </c>
      <c r="W87">
        <v>0</v>
      </c>
      <c r="X87">
        <v>4.5</v>
      </c>
      <c r="Y87">
        <v>0</v>
      </c>
      <c r="Z87">
        <v>1.4999999999999999E-2</v>
      </c>
      <c r="AA87">
        <v>0.2</v>
      </c>
      <c r="AB87">
        <v>0.08</v>
      </c>
      <c r="AC87">
        <v>0.05</v>
      </c>
      <c r="AD87">
        <v>0.4</v>
      </c>
    </row>
    <row r="88" spans="1:30" x14ac:dyDescent="0.3">
      <c r="A88" t="s">
        <v>7</v>
      </c>
      <c r="B88" t="s">
        <v>19</v>
      </c>
      <c r="C88" t="s">
        <v>9</v>
      </c>
      <c r="D88">
        <v>25</v>
      </c>
      <c r="E88">
        <v>76</v>
      </c>
      <c r="F88">
        <v>1</v>
      </c>
      <c r="G88">
        <v>650</v>
      </c>
      <c r="H88">
        <v>2</v>
      </c>
      <c r="I88" t="s">
        <v>21</v>
      </c>
      <c r="J88">
        <v>25</v>
      </c>
      <c r="K88">
        <v>1</v>
      </c>
      <c r="L88">
        <v>32</v>
      </c>
      <c r="M88">
        <v>-1</v>
      </c>
      <c r="N88">
        <v>100000</v>
      </c>
      <c r="O88">
        <v>60</v>
      </c>
      <c r="P88">
        <v>0.61625969192544583</v>
      </c>
      <c r="Q88" s="11">
        <v>6.5245993263099976E-7</v>
      </c>
      <c r="R88" s="11">
        <v>25</v>
      </c>
      <c r="S88">
        <v>6.75</v>
      </c>
      <c r="T88">
        <v>0</v>
      </c>
      <c r="U88">
        <v>0</v>
      </c>
      <c r="V88">
        <v>0</v>
      </c>
      <c r="W88">
        <v>0</v>
      </c>
      <c r="X88">
        <v>4.5</v>
      </c>
      <c r="Y88">
        <v>0</v>
      </c>
      <c r="Z88">
        <v>1.4999999999999999E-2</v>
      </c>
      <c r="AA88">
        <v>0.2</v>
      </c>
      <c r="AB88">
        <v>0.08</v>
      </c>
      <c r="AC88">
        <v>0.05</v>
      </c>
      <c r="AD88">
        <v>0.4</v>
      </c>
    </row>
    <row r="89" spans="1:30" x14ac:dyDescent="0.3">
      <c r="A89" t="s">
        <v>7</v>
      </c>
      <c r="B89" t="s">
        <v>19</v>
      </c>
      <c r="C89" t="s">
        <v>13</v>
      </c>
      <c r="D89">
        <v>900</v>
      </c>
      <c r="E89">
        <v>102</v>
      </c>
      <c r="F89">
        <v>2</v>
      </c>
      <c r="G89">
        <v>25</v>
      </c>
      <c r="H89">
        <v>1</v>
      </c>
      <c r="I89" t="s">
        <v>21</v>
      </c>
      <c r="J89">
        <v>25</v>
      </c>
      <c r="K89">
        <v>1</v>
      </c>
      <c r="L89">
        <v>32</v>
      </c>
      <c r="M89">
        <v>-1</v>
      </c>
      <c r="N89">
        <v>10000000</v>
      </c>
      <c r="O89">
        <v>405</v>
      </c>
      <c r="P89">
        <v>0.61625969192544583</v>
      </c>
      <c r="Q89" s="11">
        <v>6.9489769552281564E-7</v>
      </c>
      <c r="R89" s="11">
        <v>25</v>
      </c>
      <c r="S89">
        <v>6.75</v>
      </c>
      <c r="T89">
        <v>0</v>
      </c>
      <c r="U89">
        <v>0</v>
      </c>
      <c r="V89">
        <v>0</v>
      </c>
      <c r="W89">
        <v>0</v>
      </c>
      <c r="X89">
        <v>4.5</v>
      </c>
      <c r="Y89">
        <v>0</v>
      </c>
      <c r="Z89">
        <v>1.4999999999999999E-2</v>
      </c>
      <c r="AA89">
        <v>0.2</v>
      </c>
      <c r="AB89">
        <v>0.08</v>
      </c>
      <c r="AC89">
        <v>0.05</v>
      </c>
      <c r="AD89">
        <v>0.4</v>
      </c>
    </row>
    <row r="90" spans="1:30" x14ac:dyDescent="0.3">
      <c r="A90" t="s">
        <v>7</v>
      </c>
      <c r="B90" t="s">
        <v>19</v>
      </c>
      <c r="C90" t="s">
        <v>9</v>
      </c>
      <c r="D90">
        <v>25</v>
      </c>
      <c r="E90">
        <v>76</v>
      </c>
      <c r="F90">
        <v>1</v>
      </c>
      <c r="G90">
        <v>650</v>
      </c>
      <c r="H90">
        <v>2</v>
      </c>
      <c r="I90" t="s">
        <v>21</v>
      </c>
      <c r="J90">
        <v>25</v>
      </c>
      <c r="K90">
        <v>1</v>
      </c>
      <c r="L90">
        <v>32</v>
      </c>
      <c r="M90">
        <v>-1</v>
      </c>
      <c r="N90">
        <v>20000</v>
      </c>
      <c r="O90">
        <v>60</v>
      </c>
      <c r="P90">
        <v>0.61625969192544583</v>
      </c>
      <c r="Q90" s="11">
        <v>6.5245993263099976E-7</v>
      </c>
      <c r="R90" s="11">
        <v>25</v>
      </c>
      <c r="S90">
        <v>6.75</v>
      </c>
      <c r="T90">
        <v>0</v>
      </c>
      <c r="U90">
        <v>0</v>
      </c>
      <c r="V90">
        <v>0</v>
      </c>
      <c r="W90">
        <v>0</v>
      </c>
      <c r="X90">
        <v>4.5</v>
      </c>
      <c r="Y90">
        <v>0</v>
      </c>
      <c r="Z90">
        <v>1.4999999999999999E-2</v>
      </c>
      <c r="AA90">
        <v>0.2</v>
      </c>
      <c r="AB90">
        <v>0.08</v>
      </c>
      <c r="AC90">
        <v>0.05</v>
      </c>
      <c r="AD90">
        <v>0.4</v>
      </c>
    </row>
    <row r="91" spans="1:30" x14ac:dyDescent="0.3">
      <c r="A91" t="s">
        <v>7</v>
      </c>
      <c r="B91" t="s">
        <v>19</v>
      </c>
      <c r="C91" t="s">
        <v>13</v>
      </c>
      <c r="D91">
        <v>900</v>
      </c>
      <c r="E91">
        <v>102</v>
      </c>
      <c r="F91">
        <v>2</v>
      </c>
      <c r="G91">
        <v>25</v>
      </c>
      <c r="H91">
        <v>1</v>
      </c>
      <c r="I91" t="s">
        <v>21</v>
      </c>
      <c r="J91">
        <v>25</v>
      </c>
      <c r="K91">
        <v>1</v>
      </c>
      <c r="L91">
        <v>32</v>
      </c>
      <c r="M91">
        <v>-1</v>
      </c>
      <c r="N91">
        <v>10000000</v>
      </c>
      <c r="O91">
        <v>400</v>
      </c>
      <c r="P91">
        <v>0.61625969192544583</v>
      </c>
      <c r="Q91" s="11">
        <v>6.9461288534764957E-7</v>
      </c>
      <c r="R91" s="11">
        <v>25</v>
      </c>
      <c r="S91">
        <v>6.75</v>
      </c>
      <c r="T91">
        <v>0</v>
      </c>
      <c r="U91">
        <v>0</v>
      </c>
      <c r="V91">
        <v>0</v>
      </c>
      <c r="W91">
        <v>0</v>
      </c>
      <c r="X91">
        <v>4.5</v>
      </c>
      <c r="Y91">
        <v>0</v>
      </c>
      <c r="Z91">
        <v>1.4999999999999999E-2</v>
      </c>
      <c r="AA91">
        <v>0.2</v>
      </c>
      <c r="AB91">
        <v>0.08</v>
      </c>
      <c r="AC91">
        <v>0.05</v>
      </c>
      <c r="AD91">
        <v>0.4</v>
      </c>
    </row>
    <row r="92" spans="1:30" x14ac:dyDescent="0.3">
      <c r="A92" t="s">
        <v>22</v>
      </c>
      <c r="B92" t="s">
        <v>139</v>
      </c>
      <c r="C92" t="s">
        <v>9</v>
      </c>
      <c r="D92">
        <v>25</v>
      </c>
      <c r="E92">
        <v>76</v>
      </c>
      <c r="F92">
        <v>2</v>
      </c>
      <c r="G92">
        <v>970</v>
      </c>
      <c r="H92">
        <v>2</v>
      </c>
      <c r="I92" t="s">
        <v>21</v>
      </c>
      <c r="J92">
        <v>25</v>
      </c>
      <c r="K92">
        <v>1</v>
      </c>
      <c r="L92">
        <v>2</v>
      </c>
      <c r="M92">
        <v>0.1</v>
      </c>
      <c r="N92">
        <v>17715</v>
      </c>
      <c r="O92">
        <v>890</v>
      </c>
      <c r="P92">
        <v>0.82690646551801739</v>
      </c>
      <c r="Q92" s="11">
        <v>7.1318914739632028E-7</v>
      </c>
      <c r="R92" s="11">
        <v>25</v>
      </c>
      <c r="S92">
        <v>6.08</v>
      </c>
      <c r="T92">
        <v>0</v>
      </c>
      <c r="U92">
        <v>2.02</v>
      </c>
      <c r="V92">
        <v>2.94</v>
      </c>
      <c r="W92">
        <v>1.02</v>
      </c>
      <c r="X92">
        <v>0</v>
      </c>
      <c r="Y92">
        <v>0.03</v>
      </c>
      <c r="Z92">
        <v>0.03</v>
      </c>
      <c r="AA92">
        <v>5.0000000000000001E-3</v>
      </c>
      <c r="AB92">
        <v>7.0000000000000007E-2</v>
      </c>
      <c r="AC92">
        <v>3.0000000000000001E-3</v>
      </c>
      <c r="AD92">
        <v>1E-3</v>
      </c>
    </row>
    <row r="93" spans="1:30" x14ac:dyDescent="0.3">
      <c r="A93" t="s">
        <v>23</v>
      </c>
      <c r="B93" t="s">
        <v>139</v>
      </c>
      <c r="C93" t="s">
        <v>9</v>
      </c>
      <c r="D93">
        <v>25</v>
      </c>
      <c r="E93">
        <v>76</v>
      </c>
      <c r="F93">
        <v>2</v>
      </c>
      <c r="G93">
        <v>1080</v>
      </c>
      <c r="H93">
        <v>2</v>
      </c>
      <c r="I93" t="s">
        <v>21</v>
      </c>
      <c r="J93">
        <v>25</v>
      </c>
      <c r="K93">
        <v>1</v>
      </c>
      <c r="L93">
        <v>2</v>
      </c>
      <c r="M93">
        <v>0.1</v>
      </c>
      <c r="N93">
        <v>4934</v>
      </c>
      <c r="O93">
        <v>500</v>
      </c>
      <c r="P93">
        <v>1.0099075945242479</v>
      </c>
      <c r="Q93" s="11">
        <v>6.9974671095948523E-7</v>
      </c>
      <c r="R93" s="11">
        <v>25</v>
      </c>
      <c r="S93">
        <v>5.8</v>
      </c>
      <c r="T93">
        <v>4</v>
      </c>
      <c r="U93">
        <v>3.5</v>
      </c>
      <c r="V93">
        <v>0.7</v>
      </c>
      <c r="W93">
        <v>0.5</v>
      </c>
      <c r="X93">
        <v>0</v>
      </c>
      <c r="Y93">
        <v>0.35</v>
      </c>
      <c r="Z93">
        <v>0</v>
      </c>
      <c r="AA93">
        <v>0</v>
      </c>
      <c r="AB93">
        <v>0.06</v>
      </c>
      <c r="AC93">
        <v>0</v>
      </c>
      <c r="AD93">
        <v>0</v>
      </c>
    </row>
    <row r="94" spans="1:30" x14ac:dyDescent="0.3">
      <c r="A94" t="s">
        <v>23</v>
      </c>
      <c r="B94" t="s">
        <v>139</v>
      </c>
      <c r="C94" t="s">
        <v>4</v>
      </c>
      <c r="D94">
        <v>25</v>
      </c>
      <c r="E94">
        <v>76</v>
      </c>
      <c r="F94">
        <v>2</v>
      </c>
      <c r="G94">
        <v>1025</v>
      </c>
      <c r="H94">
        <v>2</v>
      </c>
      <c r="I94" t="s">
        <v>21</v>
      </c>
      <c r="J94">
        <v>700</v>
      </c>
      <c r="K94">
        <v>2</v>
      </c>
      <c r="L94">
        <v>2</v>
      </c>
      <c r="M94">
        <v>0.1</v>
      </c>
      <c r="N94">
        <v>8894</v>
      </c>
      <c r="O94">
        <v>500</v>
      </c>
      <c r="P94">
        <v>0.96022466747650492</v>
      </c>
      <c r="Q94" s="11">
        <v>6.9974671095948523E-7</v>
      </c>
      <c r="R94" s="11">
        <v>25</v>
      </c>
      <c r="S94">
        <v>5.8</v>
      </c>
      <c r="T94">
        <v>4</v>
      </c>
      <c r="U94">
        <v>3.5</v>
      </c>
      <c r="V94">
        <v>0.7</v>
      </c>
      <c r="W94">
        <v>0.5</v>
      </c>
      <c r="X94">
        <v>0</v>
      </c>
      <c r="Y94">
        <v>0.35</v>
      </c>
      <c r="Z94">
        <v>0</v>
      </c>
      <c r="AA94">
        <v>0</v>
      </c>
      <c r="AB94">
        <v>0.06</v>
      </c>
      <c r="AC94">
        <v>0</v>
      </c>
      <c r="AD94">
        <v>0</v>
      </c>
    </row>
    <row r="95" spans="1:30" x14ac:dyDescent="0.3">
      <c r="A95" t="s">
        <v>23</v>
      </c>
      <c r="B95" t="s">
        <v>139</v>
      </c>
      <c r="C95" t="s">
        <v>9</v>
      </c>
      <c r="D95">
        <v>25</v>
      </c>
      <c r="E95">
        <v>76</v>
      </c>
      <c r="F95">
        <v>2</v>
      </c>
      <c r="G95">
        <v>1025</v>
      </c>
      <c r="H95">
        <v>2</v>
      </c>
      <c r="I95" t="s">
        <v>21</v>
      </c>
      <c r="J95">
        <v>25</v>
      </c>
      <c r="K95">
        <v>2</v>
      </c>
      <c r="L95">
        <v>2</v>
      </c>
      <c r="M95">
        <v>0.1</v>
      </c>
      <c r="N95">
        <v>6004</v>
      </c>
      <c r="O95">
        <v>500</v>
      </c>
      <c r="P95">
        <v>0.96022466747650492</v>
      </c>
      <c r="Q95" s="11">
        <v>6.9974671095948523E-7</v>
      </c>
      <c r="R95" s="11">
        <v>25</v>
      </c>
      <c r="S95">
        <v>5.8</v>
      </c>
      <c r="T95">
        <v>4</v>
      </c>
      <c r="U95">
        <v>3.5</v>
      </c>
      <c r="V95">
        <v>0.7</v>
      </c>
      <c r="W95">
        <v>0.5</v>
      </c>
      <c r="X95">
        <v>0</v>
      </c>
      <c r="Y95">
        <v>0.35</v>
      </c>
      <c r="Z95">
        <v>0</v>
      </c>
      <c r="AA95">
        <v>0</v>
      </c>
      <c r="AB95">
        <v>0.06</v>
      </c>
      <c r="AC95">
        <v>0</v>
      </c>
      <c r="AD95">
        <v>0</v>
      </c>
    </row>
    <row r="96" spans="1:30" x14ac:dyDescent="0.3">
      <c r="A96" t="s">
        <v>24</v>
      </c>
      <c r="B96" t="s">
        <v>139</v>
      </c>
      <c r="C96" t="s">
        <v>9</v>
      </c>
      <c r="D96">
        <v>25</v>
      </c>
      <c r="E96">
        <v>76</v>
      </c>
      <c r="F96">
        <v>2</v>
      </c>
      <c r="G96">
        <v>950</v>
      </c>
      <c r="H96">
        <v>25</v>
      </c>
      <c r="I96" t="s">
        <v>21</v>
      </c>
      <c r="J96">
        <v>25</v>
      </c>
      <c r="K96">
        <v>2</v>
      </c>
      <c r="L96">
        <v>2</v>
      </c>
      <c r="M96">
        <v>0.1</v>
      </c>
      <c r="N96">
        <v>9998</v>
      </c>
      <c r="O96">
        <v>245</v>
      </c>
      <c r="P96">
        <v>0.55155985711064381</v>
      </c>
      <c r="Q96" s="11">
        <v>6.8346666351917972E-7</v>
      </c>
      <c r="R96" s="11">
        <v>25</v>
      </c>
      <c r="S96">
        <v>5.8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0.03</v>
      </c>
      <c r="AA96">
        <v>0.13</v>
      </c>
      <c r="AB96">
        <v>0.01</v>
      </c>
      <c r="AC96">
        <v>0.01</v>
      </c>
      <c r="AD96">
        <v>0</v>
      </c>
    </row>
    <row r="97" spans="1:30" x14ac:dyDescent="0.3">
      <c r="A97" t="s">
        <v>25</v>
      </c>
      <c r="B97" t="s">
        <v>139</v>
      </c>
      <c r="C97" t="s">
        <v>9</v>
      </c>
      <c r="D97">
        <v>25</v>
      </c>
      <c r="E97">
        <v>76</v>
      </c>
      <c r="F97">
        <v>2</v>
      </c>
      <c r="G97">
        <v>700</v>
      </c>
      <c r="H97">
        <v>1</v>
      </c>
      <c r="I97" t="s">
        <v>21</v>
      </c>
      <c r="J97">
        <v>25</v>
      </c>
      <c r="K97">
        <v>2</v>
      </c>
      <c r="L97">
        <v>2</v>
      </c>
      <c r="M97">
        <v>0.1</v>
      </c>
      <c r="N97">
        <v>9000</v>
      </c>
      <c r="O97">
        <v>193</v>
      </c>
      <c r="P97">
        <v>0.55433472152583729</v>
      </c>
      <c r="Q97" s="11">
        <v>6.7810703015184315E-7</v>
      </c>
      <c r="R97" s="11">
        <v>25</v>
      </c>
      <c r="S97">
        <v>0.01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3.5000000000000003E-2</v>
      </c>
      <c r="AA97">
        <v>7.0000000000000007E-2</v>
      </c>
      <c r="AB97">
        <v>0.01</v>
      </c>
      <c r="AC97">
        <v>5.0000000000000001E-3</v>
      </c>
      <c r="AD97">
        <v>0</v>
      </c>
    </row>
    <row r="98" spans="1:30" x14ac:dyDescent="0.3">
      <c r="A98" t="s">
        <v>26</v>
      </c>
      <c r="B98" t="s">
        <v>139</v>
      </c>
      <c r="C98" t="s">
        <v>9</v>
      </c>
      <c r="D98">
        <v>25</v>
      </c>
      <c r="E98">
        <v>76</v>
      </c>
      <c r="F98">
        <v>2</v>
      </c>
      <c r="G98">
        <v>750</v>
      </c>
      <c r="H98">
        <v>1</v>
      </c>
      <c r="I98" t="s">
        <v>21</v>
      </c>
      <c r="J98">
        <v>25</v>
      </c>
      <c r="K98">
        <v>2</v>
      </c>
      <c r="L98">
        <v>2</v>
      </c>
      <c r="M98">
        <v>0.1</v>
      </c>
      <c r="N98">
        <v>6000</v>
      </c>
      <c r="O98">
        <v>290</v>
      </c>
      <c r="P98">
        <v>0.55433472152583729</v>
      </c>
      <c r="Q98" s="11">
        <v>6.8728044876453785E-7</v>
      </c>
      <c r="R98" s="11">
        <v>25</v>
      </c>
      <c r="S98">
        <v>0.01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0.03</v>
      </c>
      <c r="AA98">
        <v>0.54</v>
      </c>
      <c r="AB98">
        <v>0.01</v>
      </c>
      <c r="AC98">
        <v>5.0000000000000001E-3</v>
      </c>
      <c r="AD98">
        <v>0</v>
      </c>
    </row>
    <row r="99" spans="1:30" x14ac:dyDescent="0.3">
      <c r="A99" t="s">
        <v>27</v>
      </c>
      <c r="B99" t="s">
        <v>139</v>
      </c>
      <c r="C99" t="s">
        <v>4</v>
      </c>
      <c r="D99">
        <v>25</v>
      </c>
      <c r="E99">
        <v>76</v>
      </c>
      <c r="F99">
        <v>2</v>
      </c>
      <c r="G99">
        <v>1050</v>
      </c>
      <c r="H99">
        <v>0.5</v>
      </c>
      <c r="I99" t="s">
        <v>21</v>
      </c>
      <c r="J99">
        <v>625</v>
      </c>
      <c r="K99">
        <v>2</v>
      </c>
      <c r="L99">
        <v>2</v>
      </c>
      <c r="M99">
        <v>0.1</v>
      </c>
      <c r="N99">
        <v>13150</v>
      </c>
      <c r="O99">
        <v>550</v>
      </c>
      <c r="P99">
        <v>0.95901778328633924</v>
      </c>
      <c r="Q99" s="11">
        <v>7.0195104421605871E-7</v>
      </c>
      <c r="R99" s="11">
        <v>25</v>
      </c>
      <c r="S99">
        <v>5.4</v>
      </c>
      <c r="T99">
        <v>3.5</v>
      </c>
      <c r="U99">
        <v>3</v>
      </c>
      <c r="V99">
        <v>1</v>
      </c>
      <c r="W99">
        <v>0.25</v>
      </c>
      <c r="X99">
        <v>0</v>
      </c>
      <c r="Y99">
        <v>0.3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">
      <c r="A100" t="s">
        <v>28</v>
      </c>
      <c r="B100" t="s">
        <v>139</v>
      </c>
      <c r="C100" t="s">
        <v>4</v>
      </c>
      <c r="D100">
        <v>25</v>
      </c>
      <c r="E100">
        <v>76</v>
      </c>
      <c r="F100">
        <v>2</v>
      </c>
      <c r="G100">
        <v>900</v>
      </c>
      <c r="H100">
        <v>2</v>
      </c>
      <c r="I100" t="s">
        <v>21</v>
      </c>
      <c r="J100">
        <v>785</v>
      </c>
      <c r="K100">
        <v>2</v>
      </c>
      <c r="L100">
        <v>2</v>
      </c>
      <c r="M100">
        <v>0.1</v>
      </c>
      <c r="N100">
        <v>13359</v>
      </c>
      <c r="O100">
        <v>552</v>
      </c>
      <c r="P100">
        <v>0.91900489211114056</v>
      </c>
      <c r="Q100" s="11">
        <v>7.0203513059461106E-7</v>
      </c>
      <c r="R100" s="11">
        <v>25</v>
      </c>
      <c r="S100">
        <v>6</v>
      </c>
      <c r="T100">
        <v>2</v>
      </c>
      <c r="U100">
        <v>4</v>
      </c>
      <c r="V100">
        <v>0</v>
      </c>
      <c r="W100">
        <v>2</v>
      </c>
      <c r="X100">
        <v>0</v>
      </c>
      <c r="Y100">
        <v>0.15</v>
      </c>
      <c r="Z100">
        <v>0.09</v>
      </c>
      <c r="AA100">
        <v>0.14499999999999999</v>
      </c>
      <c r="AB100">
        <v>4.4999999999999998E-2</v>
      </c>
      <c r="AC100">
        <v>0</v>
      </c>
      <c r="AD100">
        <v>0</v>
      </c>
    </row>
    <row r="101" spans="1:30" x14ac:dyDescent="0.3">
      <c r="A101" t="s">
        <v>29</v>
      </c>
      <c r="B101" t="s">
        <v>139</v>
      </c>
      <c r="C101" t="s">
        <v>4</v>
      </c>
      <c r="D101">
        <v>25</v>
      </c>
      <c r="E101">
        <v>76</v>
      </c>
      <c r="F101">
        <v>2</v>
      </c>
      <c r="G101">
        <v>1050</v>
      </c>
      <c r="H101">
        <v>0.5</v>
      </c>
      <c r="I101" t="s">
        <v>21</v>
      </c>
      <c r="J101">
        <v>550</v>
      </c>
      <c r="K101">
        <v>24</v>
      </c>
      <c r="L101">
        <v>2</v>
      </c>
      <c r="M101">
        <v>0.1</v>
      </c>
      <c r="N101">
        <v>7000</v>
      </c>
      <c r="O101">
        <v>570</v>
      </c>
      <c r="P101">
        <v>0.75331524513017734</v>
      </c>
      <c r="Q101" s="11">
        <v>7.0277891942464614E-7</v>
      </c>
      <c r="R101" s="11">
        <v>25</v>
      </c>
      <c r="S101">
        <v>6</v>
      </c>
      <c r="T101">
        <v>0</v>
      </c>
      <c r="U101">
        <v>5</v>
      </c>
      <c r="V101">
        <v>0</v>
      </c>
      <c r="W101">
        <v>0.5</v>
      </c>
      <c r="X101">
        <v>0</v>
      </c>
      <c r="Y101">
        <v>0.2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">
      <c r="A102" t="s">
        <v>30</v>
      </c>
      <c r="B102" t="s">
        <v>139</v>
      </c>
      <c r="C102" t="s">
        <v>4</v>
      </c>
      <c r="D102">
        <v>25</v>
      </c>
      <c r="E102">
        <v>76</v>
      </c>
      <c r="F102">
        <v>2</v>
      </c>
      <c r="G102">
        <v>885</v>
      </c>
      <c r="H102">
        <v>1</v>
      </c>
      <c r="I102" t="s">
        <v>21</v>
      </c>
      <c r="J102">
        <v>595</v>
      </c>
      <c r="K102">
        <v>8</v>
      </c>
      <c r="L102">
        <v>2</v>
      </c>
      <c r="M102">
        <v>0.1</v>
      </c>
      <c r="N102">
        <v>9000</v>
      </c>
      <c r="O102">
        <v>620</v>
      </c>
      <c r="P102">
        <v>0.91900489211114056</v>
      </c>
      <c r="Q102" s="11">
        <v>7.04731658140099E-7</v>
      </c>
      <c r="R102" s="11">
        <v>25</v>
      </c>
      <c r="S102">
        <v>6</v>
      </c>
      <c r="T102">
        <v>2</v>
      </c>
      <c r="U102">
        <v>4</v>
      </c>
      <c r="V102">
        <v>0</v>
      </c>
      <c r="W102">
        <v>6</v>
      </c>
      <c r="X102">
        <v>0</v>
      </c>
      <c r="Y102">
        <v>0</v>
      </c>
      <c r="Z102">
        <v>0.15</v>
      </c>
      <c r="AA102">
        <v>0.15</v>
      </c>
      <c r="AB102">
        <v>0.04</v>
      </c>
      <c r="AC102">
        <v>0.04</v>
      </c>
      <c r="AD102">
        <v>0</v>
      </c>
    </row>
    <row r="103" spans="1:30" x14ac:dyDescent="0.3">
      <c r="A103" t="s">
        <v>30</v>
      </c>
      <c r="B103" t="s">
        <v>139</v>
      </c>
      <c r="C103" t="s">
        <v>4</v>
      </c>
      <c r="D103">
        <v>25</v>
      </c>
      <c r="E103">
        <v>76</v>
      </c>
      <c r="F103">
        <v>2</v>
      </c>
      <c r="G103">
        <v>985</v>
      </c>
      <c r="H103">
        <v>1</v>
      </c>
      <c r="I103" t="s">
        <v>21</v>
      </c>
      <c r="J103">
        <v>595</v>
      </c>
      <c r="K103">
        <v>1</v>
      </c>
      <c r="L103">
        <v>2</v>
      </c>
      <c r="M103">
        <v>0.1</v>
      </c>
      <c r="N103">
        <v>4500</v>
      </c>
      <c r="O103">
        <v>530</v>
      </c>
      <c r="P103">
        <v>0.96655506922882428</v>
      </c>
      <c r="Q103" s="11">
        <v>7.0109353016105535E-7</v>
      </c>
      <c r="R103" s="11">
        <v>25</v>
      </c>
      <c r="S103">
        <v>6</v>
      </c>
      <c r="T103">
        <v>2</v>
      </c>
      <c r="U103">
        <v>4</v>
      </c>
      <c r="V103">
        <v>0</v>
      </c>
      <c r="W103">
        <v>6</v>
      </c>
      <c r="X103">
        <v>0</v>
      </c>
      <c r="Y103">
        <v>0</v>
      </c>
      <c r="Z103">
        <v>0.15</v>
      </c>
      <c r="AA103">
        <v>0.15</v>
      </c>
      <c r="AB103">
        <v>0.04</v>
      </c>
      <c r="AC103">
        <v>0.04</v>
      </c>
      <c r="AD103">
        <v>0</v>
      </c>
    </row>
    <row r="104" spans="1:30" x14ac:dyDescent="0.3">
      <c r="A104" t="s">
        <v>31</v>
      </c>
      <c r="B104" t="s">
        <v>139</v>
      </c>
      <c r="C104" t="s">
        <v>4</v>
      </c>
      <c r="D104">
        <v>25</v>
      </c>
      <c r="E104">
        <v>76</v>
      </c>
      <c r="F104">
        <v>2</v>
      </c>
      <c r="G104">
        <v>900</v>
      </c>
      <c r="H104">
        <v>2</v>
      </c>
      <c r="I104" t="s">
        <v>21</v>
      </c>
      <c r="J104">
        <v>785</v>
      </c>
      <c r="K104">
        <v>2</v>
      </c>
      <c r="L104">
        <v>2</v>
      </c>
      <c r="M104">
        <v>0.1</v>
      </c>
      <c r="N104">
        <v>6300</v>
      </c>
      <c r="O104">
        <v>540</v>
      </c>
      <c r="P104">
        <v>0.91900489211114056</v>
      </c>
      <c r="Q104" s="11">
        <v>7.0152612637489846E-7</v>
      </c>
      <c r="R104" s="11">
        <v>25</v>
      </c>
      <c r="S104">
        <v>6</v>
      </c>
      <c r="T104">
        <v>2</v>
      </c>
      <c r="U104">
        <v>4</v>
      </c>
      <c r="V104">
        <v>0</v>
      </c>
      <c r="W104">
        <v>2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">
      <c r="A105" t="s">
        <v>31</v>
      </c>
      <c r="B105" t="s">
        <v>139</v>
      </c>
      <c r="C105" t="s">
        <v>4</v>
      </c>
      <c r="D105">
        <v>25</v>
      </c>
      <c r="E105">
        <v>76</v>
      </c>
      <c r="F105">
        <v>2</v>
      </c>
      <c r="G105">
        <v>900</v>
      </c>
      <c r="H105">
        <v>2</v>
      </c>
      <c r="I105" t="s">
        <v>21</v>
      </c>
      <c r="J105">
        <v>785</v>
      </c>
      <c r="K105">
        <v>200</v>
      </c>
      <c r="L105">
        <v>2</v>
      </c>
      <c r="M105">
        <v>0.1</v>
      </c>
      <c r="N105">
        <v>8765</v>
      </c>
      <c r="O105">
        <v>535</v>
      </c>
      <c r="P105">
        <v>0.91900489211114056</v>
      </c>
      <c r="Q105" s="11">
        <v>7.0131080566686891E-7</v>
      </c>
      <c r="R105" s="11">
        <v>25</v>
      </c>
      <c r="S105">
        <v>6</v>
      </c>
      <c r="T105">
        <v>2</v>
      </c>
      <c r="U105">
        <v>4</v>
      </c>
      <c r="V105">
        <v>0</v>
      </c>
      <c r="W105">
        <v>2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">
      <c r="A106" t="s">
        <v>23</v>
      </c>
      <c r="B106" t="s">
        <v>139</v>
      </c>
      <c r="C106" t="s">
        <v>9</v>
      </c>
      <c r="D106">
        <v>25</v>
      </c>
      <c r="E106">
        <v>76</v>
      </c>
      <c r="F106">
        <v>2</v>
      </c>
      <c r="G106">
        <v>1080</v>
      </c>
      <c r="H106">
        <v>1</v>
      </c>
      <c r="I106" t="s">
        <v>21</v>
      </c>
      <c r="J106">
        <v>25</v>
      </c>
      <c r="K106">
        <v>2</v>
      </c>
      <c r="L106">
        <v>2</v>
      </c>
      <c r="M106">
        <v>0.1</v>
      </c>
      <c r="N106">
        <v>5998</v>
      </c>
      <c r="O106">
        <v>500</v>
      </c>
      <c r="P106">
        <v>1.0954176590415481</v>
      </c>
      <c r="Q106" s="11">
        <v>6.9974671095948523E-7</v>
      </c>
      <c r="R106" s="11">
        <v>25</v>
      </c>
      <c r="S106">
        <v>5.8</v>
      </c>
      <c r="T106">
        <v>4</v>
      </c>
      <c r="U106">
        <v>3.5</v>
      </c>
      <c r="V106">
        <v>0.7</v>
      </c>
      <c r="W106">
        <v>0.5</v>
      </c>
      <c r="X106">
        <v>0</v>
      </c>
      <c r="Y106">
        <v>0.35</v>
      </c>
      <c r="Z106">
        <v>0</v>
      </c>
      <c r="AA106">
        <v>0</v>
      </c>
      <c r="AB106">
        <v>0.06</v>
      </c>
      <c r="AC106">
        <v>0</v>
      </c>
      <c r="AD106">
        <v>0</v>
      </c>
    </row>
    <row r="107" spans="1:30" x14ac:dyDescent="0.3">
      <c r="A107" t="s">
        <v>23</v>
      </c>
      <c r="B107" t="s">
        <v>139</v>
      </c>
      <c r="C107" t="s">
        <v>9</v>
      </c>
      <c r="D107">
        <v>25</v>
      </c>
      <c r="E107">
        <v>76</v>
      </c>
      <c r="F107">
        <v>2</v>
      </c>
      <c r="G107">
        <v>1030</v>
      </c>
      <c r="H107">
        <v>1</v>
      </c>
      <c r="I107" t="s">
        <v>21</v>
      </c>
      <c r="J107">
        <v>25</v>
      </c>
      <c r="K107">
        <v>2</v>
      </c>
      <c r="L107">
        <v>2</v>
      </c>
      <c r="M107">
        <v>0.1</v>
      </c>
      <c r="N107">
        <v>2500</v>
      </c>
      <c r="O107">
        <v>500</v>
      </c>
      <c r="P107">
        <v>1.0990496935708529</v>
      </c>
      <c r="Q107" s="11">
        <v>6.9974671095948523E-7</v>
      </c>
      <c r="R107" s="11">
        <v>25</v>
      </c>
      <c r="S107">
        <v>5.8</v>
      </c>
      <c r="T107">
        <v>4</v>
      </c>
      <c r="U107">
        <v>3.5</v>
      </c>
      <c r="V107">
        <v>0.7</v>
      </c>
      <c r="W107">
        <v>0.5</v>
      </c>
      <c r="X107">
        <v>0</v>
      </c>
      <c r="Y107">
        <v>0.35</v>
      </c>
      <c r="Z107">
        <v>0</v>
      </c>
      <c r="AA107">
        <v>0</v>
      </c>
      <c r="AB107">
        <v>0.06</v>
      </c>
      <c r="AC107">
        <v>0</v>
      </c>
      <c r="AD107">
        <v>0</v>
      </c>
    </row>
    <row r="108" spans="1:30" x14ac:dyDescent="0.3">
      <c r="A108" t="s">
        <v>23</v>
      </c>
      <c r="B108" t="s">
        <v>139</v>
      </c>
      <c r="C108" t="s">
        <v>4</v>
      </c>
      <c r="D108">
        <v>25</v>
      </c>
      <c r="E108">
        <v>76</v>
      </c>
      <c r="F108">
        <v>2</v>
      </c>
      <c r="G108">
        <v>1030</v>
      </c>
      <c r="H108">
        <v>1</v>
      </c>
      <c r="I108" t="s">
        <v>21</v>
      </c>
      <c r="J108">
        <v>800</v>
      </c>
      <c r="K108">
        <v>1</v>
      </c>
      <c r="L108">
        <v>2</v>
      </c>
      <c r="M108">
        <v>0.1</v>
      </c>
      <c r="N108">
        <v>6895</v>
      </c>
      <c r="O108">
        <v>500</v>
      </c>
      <c r="P108">
        <v>0.84067843814524923</v>
      </c>
      <c r="Q108" s="11">
        <v>6.9974671095948523E-7</v>
      </c>
      <c r="R108" s="11">
        <v>25</v>
      </c>
      <c r="S108">
        <v>5.8</v>
      </c>
      <c r="T108">
        <v>4</v>
      </c>
      <c r="U108">
        <v>3.5</v>
      </c>
      <c r="V108">
        <v>0.7</v>
      </c>
      <c r="W108">
        <v>0.5</v>
      </c>
      <c r="X108">
        <v>0</v>
      </c>
      <c r="Y108">
        <v>0.35</v>
      </c>
      <c r="Z108">
        <v>0</v>
      </c>
      <c r="AA108">
        <v>0</v>
      </c>
      <c r="AB108">
        <v>0.06</v>
      </c>
      <c r="AC108">
        <v>0</v>
      </c>
      <c r="AD108">
        <v>0</v>
      </c>
    </row>
    <row r="109" spans="1:30" x14ac:dyDescent="0.3">
      <c r="A109" t="s">
        <v>23</v>
      </c>
      <c r="B109" t="s">
        <v>139</v>
      </c>
      <c r="C109" t="s">
        <v>4</v>
      </c>
      <c r="D109">
        <v>25</v>
      </c>
      <c r="E109">
        <v>76</v>
      </c>
      <c r="F109">
        <v>2</v>
      </c>
      <c r="G109">
        <v>1030</v>
      </c>
      <c r="H109">
        <v>1</v>
      </c>
      <c r="I109" t="s">
        <v>21</v>
      </c>
      <c r="J109">
        <v>1000</v>
      </c>
      <c r="K109">
        <v>1</v>
      </c>
      <c r="L109">
        <v>2</v>
      </c>
      <c r="M109">
        <v>0.1</v>
      </c>
      <c r="N109">
        <v>7000</v>
      </c>
      <c r="O109">
        <v>500</v>
      </c>
      <c r="P109">
        <v>1.0099075945242479</v>
      </c>
      <c r="Q109" s="11">
        <v>6.9974671095948523E-7</v>
      </c>
      <c r="R109" s="11">
        <v>25</v>
      </c>
      <c r="S109" s="14">
        <v>5.8</v>
      </c>
      <c r="T109">
        <v>4</v>
      </c>
      <c r="U109">
        <v>3.5</v>
      </c>
      <c r="V109" s="14">
        <v>0.7</v>
      </c>
      <c r="W109">
        <v>0.5</v>
      </c>
      <c r="X109">
        <v>0</v>
      </c>
      <c r="Y109">
        <v>0.35</v>
      </c>
      <c r="Z109">
        <v>0</v>
      </c>
      <c r="AA109">
        <v>0</v>
      </c>
      <c r="AB109">
        <v>0.06</v>
      </c>
      <c r="AC109">
        <v>0</v>
      </c>
      <c r="AD109">
        <v>0</v>
      </c>
    </row>
    <row r="110" spans="1:30" x14ac:dyDescent="0.3">
      <c r="A110" t="s">
        <v>31</v>
      </c>
      <c r="B110" t="s">
        <v>139</v>
      </c>
      <c r="C110" t="s">
        <v>4</v>
      </c>
      <c r="D110">
        <v>25</v>
      </c>
      <c r="E110">
        <v>76</v>
      </c>
      <c r="F110">
        <v>2</v>
      </c>
      <c r="G110">
        <v>25</v>
      </c>
      <c r="H110">
        <v>2</v>
      </c>
      <c r="I110" t="s">
        <v>21</v>
      </c>
      <c r="J110">
        <v>595</v>
      </c>
      <c r="K110">
        <v>8</v>
      </c>
      <c r="L110">
        <v>2</v>
      </c>
      <c r="M110">
        <v>0</v>
      </c>
      <c r="N110">
        <v>10000</v>
      </c>
      <c r="O110">
        <v>400</v>
      </c>
      <c r="P110">
        <v>0.95917011249040085</v>
      </c>
      <c r="Q110" s="11">
        <v>6.9461288534764957E-7</v>
      </c>
      <c r="R110" s="11">
        <v>25</v>
      </c>
      <c r="S110">
        <v>6</v>
      </c>
      <c r="T110">
        <v>2</v>
      </c>
      <c r="U110">
        <v>4</v>
      </c>
      <c r="V110">
        <v>0</v>
      </c>
      <c r="W110">
        <v>2</v>
      </c>
      <c r="X110">
        <v>0</v>
      </c>
      <c r="Y110">
        <v>0.1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">
      <c r="A111" t="s">
        <v>32</v>
      </c>
      <c r="B111" t="s">
        <v>139</v>
      </c>
      <c r="C111" t="s">
        <v>4</v>
      </c>
      <c r="D111">
        <v>25</v>
      </c>
      <c r="E111">
        <v>76</v>
      </c>
      <c r="F111">
        <v>2</v>
      </c>
      <c r="G111">
        <v>25</v>
      </c>
      <c r="H111">
        <v>2</v>
      </c>
      <c r="I111" t="s">
        <v>21</v>
      </c>
      <c r="J111">
        <v>595</v>
      </c>
      <c r="K111">
        <v>8</v>
      </c>
      <c r="L111">
        <v>2</v>
      </c>
      <c r="M111">
        <v>0</v>
      </c>
      <c r="N111">
        <v>10000</v>
      </c>
      <c r="O111">
        <v>394</v>
      </c>
      <c r="P111">
        <v>0.95917011249040085</v>
      </c>
      <c r="Q111" s="11">
        <v>6.9426653351660328E-7</v>
      </c>
      <c r="R111" s="11">
        <v>25</v>
      </c>
      <c r="S111">
        <v>6</v>
      </c>
      <c r="T111">
        <v>2</v>
      </c>
      <c r="U111">
        <v>4</v>
      </c>
      <c r="V111">
        <v>0</v>
      </c>
      <c r="W111">
        <v>2</v>
      </c>
      <c r="X111">
        <v>0</v>
      </c>
      <c r="Y111">
        <v>0.1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">
      <c r="A112" t="s">
        <v>33</v>
      </c>
      <c r="B112" t="s">
        <v>139</v>
      </c>
      <c r="C112" t="s">
        <v>4</v>
      </c>
      <c r="D112">
        <v>25</v>
      </c>
      <c r="E112">
        <v>76</v>
      </c>
      <c r="F112">
        <v>2</v>
      </c>
      <c r="G112">
        <v>25</v>
      </c>
      <c r="H112">
        <v>2</v>
      </c>
      <c r="I112" t="s">
        <v>21</v>
      </c>
      <c r="J112">
        <v>595</v>
      </c>
      <c r="K112">
        <v>8</v>
      </c>
      <c r="L112">
        <v>2</v>
      </c>
      <c r="M112">
        <v>0</v>
      </c>
      <c r="N112">
        <v>10000</v>
      </c>
      <c r="O112">
        <v>400</v>
      </c>
      <c r="P112">
        <v>0.95917011249040085</v>
      </c>
      <c r="Q112" s="11">
        <v>6.9461288534764957E-7</v>
      </c>
      <c r="R112" s="11">
        <v>25</v>
      </c>
      <c r="S112">
        <v>6</v>
      </c>
      <c r="T112">
        <v>2</v>
      </c>
      <c r="U112">
        <v>4</v>
      </c>
      <c r="V112">
        <v>0</v>
      </c>
      <c r="W112">
        <v>2</v>
      </c>
      <c r="X112">
        <v>0</v>
      </c>
      <c r="Y112">
        <v>0.1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">
      <c r="A113" t="s">
        <v>34</v>
      </c>
      <c r="B113" t="s">
        <v>139</v>
      </c>
      <c r="C113" t="s">
        <v>4</v>
      </c>
      <c r="D113">
        <v>25</v>
      </c>
      <c r="E113">
        <v>76</v>
      </c>
      <c r="F113">
        <v>2</v>
      </c>
      <c r="G113">
        <v>25</v>
      </c>
      <c r="H113">
        <v>2</v>
      </c>
      <c r="I113" t="s">
        <v>21</v>
      </c>
      <c r="J113">
        <v>600</v>
      </c>
      <c r="K113">
        <v>4</v>
      </c>
      <c r="L113">
        <v>2</v>
      </c>
      <c r="M113">
        <v>0</v>
      </c>
      <c r="N113">
        <v>10000</v>
      </c>
      <c r="O113">
        <v>400</v>
      </c>
      <c r="P113">
        <v>0.56079011098986997</v>
      </c>
      <c r="Q113" s="11">
        <v>6.9461288534764957E-7</v>
      </c>
      <c r="R113" s="11">
        <v>25</v>
      </c>
      <c r="S113">
        <v>8.9600000000000009</v>
      </c>
      <c r="T113">
        <v>0</v>
      </c>
      <c r="U113">
        <v>0</v>
      </c>
      <c r="V113">
        <v>0</v>
      </c>
      <c r="W113">
        <v>0</v>
      </c>
      <c r="X113">
        <v>3.83</v>
      </c>
      <c r="Y113">
        <v>0</v>
      </c>
      <c r="Z113">
        <v>0.16</v>
      </c>
      <c r="AA113">
        <v>0.12</v>
      </c>
      <c r="AB113">
        <v>0.01</v>
      </c>
      <c r="AC113">
        <v>8.9999999999999993E-3</v>
      </c>
      <c r="AD113">
        <v>1.6000000000000001E-3</v>
      </c>
    </row>
    <row r="114" spans="1:30" x14ac:dyDescent="0.3">
      <c r="A114" t="s">
        <v>30</v>
      </c>
      <c r="B114" t="s">
        <v>139</v>
      </c>
      <c r="C114" t="s">
        <v>4</v>
      </c>
      <c r="D114">
        <v>25</v>
      </c>
      <c r="E114">
        <v>76</v>
      </c>
      <c r="F114">
        <v>2</v>
      </c>
      <c r="G114">
        <v>25</v>
      </c>
      <c r="H114">
        <v>2</v>
      </c>
      <c r="I114" t="s">
        <v>21</v>
      </c>
      <c r="J114">
        <v>850</v>
      </c>
      <c r="K114">
        <v>4</v>
      </c>
      <c r="L114">
        <v>2</v>
      </c>
      <c r="M114">
        <v>0</v>
      </c>
      <c r="N114">
        <v>10000</v>
      </c>
      <c r="O114">
        <v>394</v>
      </c>
      <c r="P114">
        <v>0.64232730322787057</v>
      </c>
      <c r="Q114" s="11">
        <v>6.9426653351660328E-7</v>
      </c>
      <c r="R114" s="11">
        <v>25</v>
      </c>
      <c r="S114">
        <v>8.9600000000000009</v>
      </c>
      <c r="T114">
        <v>0</v>
      </c>
      <c r="U114">
        <v>0</v>
      </c>
      <c r="V114">
        <v>0</v>
      </c>
      <c r="W114">
        <v>0</v>
      </c>
      <c r="X114">
        <v>3.83</v>
      </c>
      <c r="Y114">
        <v>0</v>
      </c>
      <c r="Z114">
        <v>0.16</v>
      </c>
      <c r="AA114">
        <v>0.12</v>
      </c>
      <c r="AB114">
        <v>0.01</v>
      </c>
      <c r="AC114">
        <v>8.9999999999999993E-3</v>
      </c>
      <c r="AD114">
        <v>1.6000000000000001E-3</v>
      </c>
    </row>
    <row r="115" spans="1:30" x14ac:dyDescent="0.3">
      <c r="A115" t="s">
        <v>35</v>
      </c>
      <c r="B115" t="s">
        <v>139</v>
      </c>
      <c r="C115" t="s">
        <v>4</v>
      </c>
      <c r="D115">
        <v>25</v>
      </c>
      <c r="E115">
        <v>76</v>
      </c>
      <c r="F115">
        <v>2</v>
      </c>
      <c r="G115">
        <v>970</v>
      </c>
      <c r="H115">
        <v>0.5</v>
      </c>
      <c r="I115" t="s">
        <v>21</v>
      </c>
      <c r="J115">
        <v>700</v>
      </c>
      <c r="K115">
        <v>0.5</v>
      </c>
      <c r="L115">
        <v>2</v>
      </c>
      <c r="M115">
        <v>-1</v>
      </c>
      <c r="N115">
        <v>27924</v>
      </c>
      <c r="O115">
        <v>500.68900000000002</v>
      </c>
      <c r="P115">
        <v>0.58980591855772457</v>
      </c>
      <c r="Q115" s="11">
        <v>6.9977851005987827E-7</v>
      </c>
      <c r="R115" s="11">
        <v>25</v>
      </c>
      <c r="S115">
        <v>6.22</v>
      </c>
      <c r="T115">
        <v>0</v>
      </c>
      <c r="U115">
        <v>0</v>
      </c>
      <c r="V115">
        <v>0</v>
      </c>
      <c r="W115">
        <v>0</v>
      </c>
      <c r="X115">
        <v>4.01</v>
      </c>
      <c r="Y115">
        <v>0</v>
      </c>
      <c r="Z115">
        <v>0.2</v>
      </c>
      <c r="AA115">
        <v>0.2</v>
      </c>
      <c r="AB115">
        <v>0.02</v>
      </c>
      <c r="AC115">
        <v>0.01</v>
      </c>
      <c r="AD115">
        <v>1E-3</v>
      </c>
    </row>
    <row r="116" spans="1:30" x14ac:dyDescent="0.3">
      <c r="A116" t="s">
        <v>36</v>
      </c>
      <c r="B116" t="s">
        <v>139</v>
      </c>
      <c r="C116" t="s">
        <v>4</v>
      </c>
      <c r="D116">
        <v>25</v>
      </c>
      <c r="E116">
        <v>76</v>
      </c>
      <c r="F116">
        <v>2</v>
      </c>
      <c r="G116">
        <v>970</v>
      </c>
      <c r="H116">
        <v>0.5</v>
      </c>
      <c r="I116" t="s">
        <v>21</v>
      </c>
      <c r="J116">
        <v>700</v>
      </c>
      <c r="K116">
        <v>0.5</v>
      </c>
      <c r="L116">
        <v>2</v>
      </c>
      <c r="M116">
        <v>-1</v>
      </c>
      <c r="N116">
        <v>43568</v>
      </c>
      <c r="O116">
        <v>459.61399999999998</v>
      </c>
      <c r="P116">
        <v>0.58980591855772457</v>
      </c>
      <c r="Q116" s="11">
        <v>6.9780460779774823E-7</v>
      </c>
      <c r="R116" s="11">
        <v>25</v>
      </c>
      <c r="S116">
        <v>6.22</v>
      </c>
      <c r="T116">
        <v>0</v>
      </c>
      <c r="U116">
        <v>0</v>
      </c>
      <c r="V116">
        <v>0</v>
      </c>
      <c r="W116">
        <v>0</v>
      </c>
      <c r="X116">
        <v>4.01</v>
      </c>
      <c r="Y116">
        <v>0</v>
      </c>
      <c r="Z116">
        <v>0.2</v>
      </c>
      <c r="AA116">
        <v>0.2</v>
      </c>
      <c r="AB116">
        <v>0.02</v>
      </c>
      <c r="AC116">
        <v>0.01</v>
      </c>
      <c r="AD116">
        <v>1E-3</v>
      </c>
    </row>
    <row r="117" spans="1:30" x14ac:dyDescent="0.3">
      <c r="A117" t="s">
        <v>37</v>
      </c>
      <c r="B117" t="s">
        <v>139</v>
      </c>
      <c r="C117" t="s">
        <v>4</v>
      </c>
      <c r="D117">
        <v>25</v>
      </c>
      <c r="E117">
        <v>76</v>
      </c>
      <c r="F117">
        <v>2</v>
      </c>
      <c r="G117">
        <v>970</v>
      </c>
      <c r="H117">
        <v>0.5</v>
      </c>
      <c r="I117" t="s">
        <v>21</v>
      </c>
      <c r="J117">
        <v>700</v>
      </c>
      <c r="K117">
        <v>0.5</v>
      </c>
      <c r="L117">
        <v>2</v>
      </c>
      <c r="M117">
        <v>-1</v>
      </c>
      <c r="N117">
        <v>52620</v>
      </c>
      <c r="O117">
        <v>430.93799999999999</v>
      </c>
      <c r="P117">
        <v>0.58980591855772457</v>
      </c>
      <c r="Q117" s="11">
        <v>6.963226847179838E-7</v>
      </c>
      <c r="R117" s="11">
        <v>25</v>
      </c>
      <c r="S117">
        <v>6.22</v>
      </c>
      <c r="T117">
        <v>0</v>
      </c>
      <c r="U117">
        <v>0</v>
      </c>
      <c r="V117">
        <v>0</v>
      </c>
      <c r="W117">
        <v>0</v>
      </c>
      <c r="X117">
        <v>4.01</v>
      </c>
      <c r="Y117">
        <v>0</v>
      </c>
      <c r="Z117">
        <v>0.2</v>
      </c>
      <c r="AA117">
        <v>0.2</v>
      </c>
      <c r="AB117">
        <v>0.02</v>
      </c>
      <c r="AC117">
        <v>0.01</v>
      </c>
      <c r="AD117">
        <v>1E-3</v>
      </c>
    </row>
    <row r="118" spans="1:30" x14ac:dyDescent="0.3">
      <c r="A118" t="s">
        <v>38</v>
      </c>
      <c r="B118" t="s">
        <v>139</v>
      </c>
      <c r="C118" t="s">
        <v>4</v>
      </c>
      <c r="D118">
        <v>25</v>
      </c>
      <c r="E118">
        <v>76</v>
      </c>
      <c r="F118">
        <v>2</v>
      </c>
      <c r="G118">
        <v>970</v>
      </c>
      <c r="H118">
        <v>0.5</v>
      </c>
      <c r="I118" t="s">
        <v>21</v>
      </c>
      <c r="J118">
        <v>700</v>
      </c>
      <c r="K118">
        <v>0.5</v>
      </c>
      <c r="L118">
        <v>2</v>
      </c>
      <c r="M118">
        <v>-1</v>
      </c>
      <c r="N118">
        <v>59436</v>
      </c>
      <c r="O118">
        <v>400.54</v>
      </c>
      <c r="P118">
        <v>0.58980591855772457</v>
      </c>
      <c r="Q118" s="11">
        <v>6.9464381017097496E-7</v>
      </c>
      <c r="R118" s="11">
        <v>25</v>
      </c>
      <c r="S118">
        <v>6.22</v>
      </c>
      <c r="T118">
        <v>0</v>
      </c>
      <c r="U118">
        <v>0</v>
      </c>
      <c r="V118">
        <v>0</v>
      </c>
      <c r="W118">
        <v>0</v>
      </c>
      <c r="X118">
        <v>4.01</v>
      </c>
      <c r="Y118">
        <v>0</v>
      </c>
      <c r="Z118">
        <v>0.2</v>
      </c>
      <c r="AA118">
        <v>0.2</v>
      </c>
      <c r="AB118">
        <v>0.02</v>
      </c>
      <c r="AC118">
        <v>0.01</v>
      </c>
      <c r="AD118">
        <v>1E-3</v>
      </c>
    </row>
    <row r="119" spans="1:30" x14ac:dyDescent="0.3">
      <c r="A119" t="s">
        <v>39</v>
      </c>
      <c r="B119" t="s">
        <v>139</v>
      </c>
      <c r="C119" t="s">
        <v>4</v>
      </c>
      <c r="D119">
        <v>25</v>
      </c>
      <c r="E119">
        <v>76</v>
      </c>
      <c r="F119">
        <v>2</v>
      </c>
      <c r="G119">
        <v>970</v>
      </c>
      <c r="H119">
        <v>0.5</v>
      </c>
      <c r="I119" t="s">
        <v>21</v>
      </c>
      <c r="J119">
        <v>700</v>
      </c>
      <c r="K119">
        <v>0.5</v>
      </c>
      <c r="L119">
        <v>2</v>
      </c>
      <c r="M119">
        <v>-1</v>
      </c>
      <c r="N119">
        <v>61671</v>
      </c>
      <c r="O119">
        <v>369.69</v>
      </c>
      <c r="P119">
        <v>0.58980591855772457</v>
      </c>
      <c r="Q119" s="11">
        <v>6.9280896664195651E-7</v>
      </c>
      <c r="R119" s="11">
        <v>25</v>
      </c>
      <c r="S119">
        <v>6.22</v>
      </c>
      <c r="T119">
        <v>0</v>
      </c>
      <c r="U119">
        <v>0</v>
      </c>
      <c r="V119">
        <v>0</v>
      </c>
      <c r="W119">
        <v>0</v>
      </c>
      <c r="X119">
        <v>4.01</v>
      </c>
      <c r="Y119">
        <v>0</v>
      </c>
      <c r="Z119">
        <v>0.2</v>
      </c>
      <c r="AA119">
        <v>0.2</v>
      </c>
      <c r="AB119">
        <v>0.02</v>
      </c>
      <c r="AC119">
        <v>0.01</v>
      </c>
      <c r="AD119">
        <v>1E-3</v>
      </c>
    </row>
    <row r="120" spans="1:30" x14ac:dyDescent="0.3">
      <c r="A120" t="s">
        <v>40</v>
      </c>
      <c r="B120" t="s">
        <v>139</v>
      </c>
      <c r="C120" t="s">
        <v>4</v>
      </c>
      <c r="D120">
        <v>25</v>
      </c>
      <c r="E120">
        <v>76</v>
      </c>
      <c r="F120">
        <v>2</v>
      </c>
      <c r="G120">
        <v>970</v>
      </c>
      <c r="H120">
        <v>0.5</v>
      </c>
      <c r="I120" t="s">
        <v>21</v>
      </c>
      <c r="J120">
        <v>700</v>
      </c>
      <c r="K120">
        <v>0.5</v>
      </c>
      <c r="L120">
        <v>2</v>
      </c>
      <c r="M120">
        <v>-1</v>
      </c>
      <c r="N120">
        <v>99888</v>
      </c>
      <c r="O120">
        <v>340.71</v>
      </c>
      <c r="P120">
        <v>0.58980591855772457</v>
      </c>
      <c r="Q120" s="11">
        <v>6.9094512458622729E-7</v>
      </c>
      <c r="R120" s="11">
        <v>25</v>
      </c>
      <c r="S120">
        <v>6.22</v>
      </c>
      <c r="T120">
        <v>0</v>
      </c>
      <c r="U120">
        <v>0</v>
      </c>
      <c r="V120">
        <v>0</v>
      </c>
      <c r="W120">
        <v>0</v>
      </c>
      <c r="X120">
        <v>4.01</v>
      </c>
      <c r="Y120">
        <v>0</v>
      </c>
      <c r="Z120">
        <v>0.2</v>
      </c>
      <c r="AA120">
        <v>0.2</v>
      </c>
      <c r="AB120">
        <v>0.02</v>
      </c>
      <c r="AC120">
        <v>0.01</v>
      </c>
      <c r="AD120">
        <v>1E-3</v>
      </c>
    </row>
    <row r="121" spans="1:30" x14ac:dyDescent="0.3">
      <c r="A121" t="s">
        <v>41</v>
      </c>
      <c r="B121" t="s">
        <v>139</v>
      </c>
      <c r="C121" t="s">
        <v>4</v>
      </c>
      <c r="D121">
        <v>25</v>
      </c>
      <c r="E121">
        <v>76</v>
      </c>
      <c r="F121">
        <v>2</v>
      </c>
      <c r="G121">
        <v>25</v>
      </c>
      <c r="H121">
        <v>2</v>
      </c>
      <c r="I121" t="s">
        <v>21</v>
      </c>
      <c r="J121">
        <v>0</v>
      </c>
      <c r="K121">
        <v>0</v>
      </c>
      <c r="L121">
        <v>2</v>
      </c>
      <c r="M121">
        <v>-1</v>
      </c>
      <c r="N121">
        <v>100000</v>
      </c>
      <c r="O121">
        <v>675</v>
      </c>
      <c r="P121">
        <v>1.0039005497071301</v>
      </c>
      <c r="Q121" s="11">
        <v>7.0671104717168542E-7</v>
      </c>
      <c r="R121" s="11">
        <v>25</v>
      </c>
      <c r="S121">
        <v>5.8</v>
      </c>
      <c r="T121">
        <v>4</v>
      </c>
      <c r="U121">
        <v>3.72</v>
      </c>
      <c r="V121">
        <v>0.69</v>
      </c>
      <c r="W121">
        <v>0.54</v>
      </c>
      <c r="X121">
        <v>0</v>
      </c>
      <c r="Y121">
        <v>0.34</v>
      </c>
      <c r="Z121">
        <v>8.9999999999999993E-3</v>
      </c>
      <c r="AA121">
        <v>0.105</v>
      </c>
      <c r="AB121">
        <v>0.05</v>
      </c>
      <c r="AC121">
        <v>2.5000000000000001E-3</v>
      </c>
      <c r="AD121">
        <v>4.0000000000000001E-3</v>
      </c>
    </row>
    <row r="122" spans="1:30" x14ac:dyDescent="0.3">
      <c r="A122" t="s">
        <v>42</v>
      </c>
      <c r="B122" t="s">
        <v>139</v>
      </c>
      <c r="C122" t="s">
        <v>4</v>
      </c>
      <c r="D122">
        <v>25</v>
      </c>
      <c r="E122">
        <v>76</v>
      </c>
      <c r="F122">
        <v>2</v>
      </c>
      <c r="G122">
        <v>932</v>
      </c>
      <c r="H122">
        <v>0</v>
      </c>
      <c r="I122" t="s">
        <v>21</v>
      </c>
      <c r="J122">
        <v>704</v>
      </c>
      <c r="K122">
        <v>2</v>
      </c>
      <c r="L122">
        <v>2</v>
      </c>
      <c r="M122">
        <v>-1</v>
      </c>
      <c r="N122">
        <v>100000</v>
      </c>
      <c r="O122">
        <v>450</v>
      </c>
      <c r="P122">
        <v>0.56079011098986997</v>
      </c>
      <c r="Q122" s="11">
        <v>6.9731798836356995E-7</v>
      </c>
      <c r="R122" s="11">
        <v>25</v>
      </c>
      <c r="S122">
        <v>6.27</v>
      </c>
      <c r="T122">
        <v>0</v>
      </c>
      <c r="U122">
        <v>0</v>
      </c>
      <c r="V122">
        <v>0</v>
      </c>
      <c r="W122">
        <v>0</v>
      </c>
      <c r="X122">
        <v>4.1900000000000004</v>
      </c>
      <c r="Y122">
        <v>0</v>
      </c>
      <c r="Z122">
        <v>0.2</v>
      </c>
      <c r="AA122">
        <v>0.18</v>
      </c>
      <c r="AB122">
        <v>0</v>
      </c>
      <c r="AC122">
        <v>1.2E-2</v>
      </c>
      <c r="AD122">
        <v>0</v>
      </c>
    </row>
    <row r="123" spans="1:30" x14ac:dyDescent="0.3">
      <c r="A123" t="s">
        <v>43</v>
      </c>
      <c r="B123" t="s">
        <v>139</v>
      </c>
      <c r="C123" t="s">
        <v>4</v>
      </c>
      <c r="D123">
        <v>25</v>
      </c>
      <c r="E123">
        <v>76</v>
      </c>
      <c r="F123">
        <v>2</v>
      </c>
      <c r="G123">
        <v>932</v>
      </c>
      <c r="H123">
        <v>0</v>
      </c>
      <c r="I123" t="s">
        <v>21</v>
      </c>
      <c r="J123">
        <v>704</v>
      </c>
      <c r="K123">
        <v>2</v>
      </c>
      <c r="L123">
        <v>2</v>
      </c>
      <c r="M123">
        <v>0.1</v>
      </c>
      <c r="N123">
        <v>100000</v>
      </c>
      <c r="O123">
        <v>667</v>
      </c>
      <c r="P123">
        <v>0.56079011098986997</v>
      </c>
      <c r="Q123" s="11">
        <v>7.0643304832243352E-7</v>
      </c>
      <c r="R123" s="11">
        <v>25</v>
      </c>
      <c r="S123">
        <v>6.27</v>
      </c>
      <c r="T123">
        <v>0</v>
      </c>
      <c r="U123">
        <v>0</v>
      </c>
      <c r="V123">
        <v>0</v>
      </c>
      <c r="W123">
        <v>0</v>
      </c>
      <c r="X123">
        <v>4.1900000000000004</v>
      </c>
      <c r="Y123">
        <v>0</v>
      </c>
      <c r="Z123">
        <v>0.2</v>
      </c>
      <c r="AA123">
        <v>0.18</v>
      </c>
      <c r="AB123">
        <v>0</v>
      </c>
      <c r="AC123">
        <v>1.2E-2</v>
      </c>
      <c r="AD123">
        <v>0</v>
      </c>
    </row>
    <row r="124" spans="1:30" x14ac:dyDescent="0.3">
      <c r="A124" t="s">
        <v>44</v>
      </c>
      <c r="B124" t="s">
        <v>139</v>
      </c>
      <c r="C124" t="s">
        <v>4</v>
      </c>
      <c r="D124">
        <v>25</v>
      </c>
      <c r="E124">
        <v>76</v>
      </c>
      <c r="F124">
        <v>2</v>
      </c>
      <c r="G124">
        <v>932</v>
      </c>
      <c r="H124">
        <v>0</v>
      </c>
      <c r="I124" t="s">
        <v>21</v>
      </c>
      <c r="J124">
        <v>704</v>
      </c>
      <c r="K124">
        <v>2</v>
      </c>
      <c r="L124">
        <v>2</v>
      </c>
      <c r="M124">
        <v>0.5</v>
      </c>
      <c r="N124">
        <v>100000</v>
      </c>
      <c r="O124">
        <v>860</v>
      </c>
      <c r="P124">
        <v>0.56079011098986997</v>
      </c>
      <c r="Q124" s="11">
        <v>7.123826021636268E-7</v>
      </c>
      <c r="R124" s="11">
        <v>25</v>
      </c>
      <c r="S124">
        <v>6.27</v>
      </c>
      <c r="T124">
        <v>0</v>
      </c>
      <c r="U124">
        <v>0</v>
      </c>
      <c r="V124">
        <v>0</v>
      </c>
      <c r="W124">
        <v>0</v>
      </c>
      <c r="X124">
        <v>4.1900000000000004</v>
      </c>
      <c r="Y124">
        <v>0</v>
      </c>
      <c r="Z124">
        <v>0.2</v>
      </c>
      <c r="AA124">
        <v>0.18</v>
      </c>
      <c r="AB124">
        <v>0</v>
      </c>
      <c r="AC124">
        <v>1.2E-2</v>
      </c>
      <c r="AD124">
        <v>0</v>
      </c>
    </row>
    <row r="125" spans="1:30" x14ac:dyDescent="0.3">
      <c r="A125" t="s">
        <v>45</v>
      </c>
      <c r="B125" t="s">
        <v>139</v>
      </c>
      <c r="C125" t="s">
        <v>4</v>
      </c>
      <c r="D125">
        <v>25</v>
      </c>
      <c r="E125">
        <v>76</v>
      </c>
      <c r="F125">
        <v>2</v>
      </c>
      <c r="G125">
        <v>932</v>
      </c>
      <c r="H125">
        <v>0</v>
      </c>
      <c r="I125" t="s">
        <v>21</v>
      </c>
      <c r="J125">
        <v>704</v>
      </c>
      <c r="K125">
        <v>2</v>
      </c>
      <c r="L125">
        <v>2</v>
      </c>
      <c r="M125">
        <v>0.8</v>
      </c>
      <c r="N125">
        <v>100000</v>
      </c>
      <c r="O125">
        <v>950</v>
      </c>
      <c r="P125">
        <v>0.53784992938427523</v>
      </c>
      <c r="Q125" s="11">
        <v>7.1472625290994394E-7</v>
      </c>
      <c r="R125" s="11">
        <v>25</v>
      </c>
      <c r="S125">
        <v>6.27</v>
      </c>
      <c r="T125">
        <v>0</v>
      </c>
      <c r="U125">
        <v>0</v>
      </c>
      <c r="V125">
        <v>0</v>
      </c>
      <c r="W125">
        <v>0</v>
      </c>
      <c r="X125">
        <v>4.1900000000000004</v>
      </c>
      <c r="Y125">
        <v>0</v>
      </c>
      <c r="Z125">
        <v>0.2</v>
      </c>
      <c r="AA125">
        <v>0.18</v>
      </c>
      <c r="AB125">
        <v>0</v>
      </c>
      <c r="AC125">
        <v>1.2E-2</v>
      </c>
      <c r="AD125">
        <v>0</v>
      </c>
    </row>
    <row r="126" spans="1:30" x14ac:dyDescent="0.3">
      <c r="A126" t="s">
        <v>46</v>
      </c>
      <c r="B126" t="s">
        <v>139</v>
      </c>
      <c r="C126" t="s">
        <v>4</v>
      </c>
      <c r="D126">
        <v>25</v>
      </c>
      <c r="E126">
        <v>76</v>
      </c>
      <c r="F126">
        <v>2</v>
      </c>
      <c r="G126">
        <v>925</v>
      </c>
      <c r="H126">
        <v>1</v>
      </c>
      <c r="I126" t="s">
        <v>21</v>
      </c>
      <c r="J126">
        <v>700</v>
      </c>
      <c r="K126">
        <v>2</v>
      </c>
      <c r="L126">
        <v>2</v>
      </c>
      <c r="M126">
        <v>0.1</v>
      </c>
      <c r="N126">
        <v>100000</v>
      </c>
      <c r="O126">
        <v>700</v>
      </c>
      <c r="P126">
        <v>0.56079011098986997</v>
      </c>
      <c r="Q126" s="11">
        <v>7.0755970304400871E-7</v>
      </c>
      <c r="R126" s="11">
        <v>25</v>
      </c>
      <c r="S126">
        <v>6.27</v>
      </c>
      <c r="T126">
        <v>0</v>
      </c>
      <c r="U126">
        <v>0</v>
      </c>
      <c r="V126">
        <v>0</v>
      </c>
      <c r="W126">
        <v>0</v>
      </c>
      <c r="X126">
        <v>4.1900000000000004</v>
      </c>
      <c r="Y126">
        <v>0</v>
      </c>
      <c r="Z126">
        <v>0.2</v>
      </c>
      <c r="AA126">
        <v>0.18</v>
      </c>
      <c r="AB126">
        <v>0</v>
      </c>
      <c r="AC126">
        <v>1.2E-2</v>
      </c>
      <c r="AD126">
        <v>4.1000000000000003E-3</v>
      </c>
    </row>
    <row r="127" spans="1:30" x14ac:dyDescent="0.3">
      <c r="A127" t="s">
        <v>47</v>
      </c>
      <c r="B127" t="s">
        <v>139</v>
      </c>
      <c r="C127" t="s">
        <v>4</v>
      </c>
      <c r="D127">
        <v>25</v>
      </c>
      <c r="E127">
        <v>76</v>
      </c>
      <c r="F127">
        <v>2</v>
      </c>
      <c r="G127">
        <v>925</v>
      </c>
      <c r="H127">
        <v>1</v>
      </c>
      <c r="I127" t="s">
        <v>21</v>
      </c>
      <c r="J127">
        <v>700</v>
      </c>
      <c r="K127">
        <v>2</v>
      </c>
      <c r="L127">
        <v>2</v>
      </c>
      <c r="M127">
        <v>0.5</v>
      </c>
      <c r="N127">
        <v>100000</v>
      </c>
      <c r="O127">
        <v>850</v>
      </c>
      <c r="P127">
        <v>0.56079011098986997</v>
      </c>
      <c r="Q127" s="11">
        <v>7.1210769739647177E-7</v>
      </c>
      <c r="R127" s="11">
        <v>25</v>
      </c>
      <c r="S127">
        <v>6.27</v>
      </c>
      <c r="T127">
        <v>0</v>
      </c>
      <c r="U127">
        <v>0</v>
      </c>
      <c r="V127">
        <v>0</v>
      </c>
      <c r="W127">
        <v>0</v>
      </c>
      <c r="X127">
        <v>4.1900000000000004</v>
      </c>
      <c r="Y127">
        <v>0</v>
      </c>
      <c r="Z127">
        <v>0.2</v>
      </c>
      <c r="AA127">
        <v>0.18</v>
      </c>
      <c r="AB127">
        <v>0</v>
      </c>
      <c r="AC127">
        <v>1.2E-2</v>
      </c>
      <c r="AD127">
        <v>4.1000000000000003E-3</v>
      </c>
    </row>
    <row r="128" spans="1:30" x14ac:dyDescent="0.3">
      <c r="A128" t="s">
        <v>48</v>
      </c>
      <c r="B128" t="s">
        <v>139</v>
      </c>
      <c r="C128" t="s">
        <v>4</v>
      </c>
      <c r="D128">
        <v>25</v>
      </c>
      <c r="E128">
        <v>76</v>
      </c>
      <c r="F128">
        <v>2</v>
      </c>
      <c r="G128">
        <v>925</v>
      </c>
      <c r="H128">
        <v>1</v>
      </c>
      <c r="I128" t="s">
        <v>21</v>
      </c>
      <c r="J128">
        <v>700</v>
      </c>
      <c r="K128">
        <v>2</v>
      </c>
      <c r="L128">
        <v>2</v>
      </c>
      <c r="M128">
        <v>0.1</v>
      </c>
      <c r="N128">
        <v>100000</v>
      </c>
      <c r="O128">
        <v>710</v>
      </c>
      <c r="P128">
        <v>0.53784992938427523</v>
      </c>
      <c r="Q128" s="11">
        <v>7.0789098428521626E-7</v>
      </c>
      <c r="R128" s="11">
        <v>25</v>
      </c>
      <c r="S128">
        <v>6.27</v>
      </c>
      <c r="T128">
        <v>0</v>
      </c>
      <c r="U128">
        <v>0</v>
      </c>
      <c r="V128">
        <v>0</v>
      </c>
      <c r="W128">
        <v>0</v>
      </c>
      <c r="X128">
        <v>4.1900000000000004</v>
      </c>
      <c r="Y128">
        <v>0</v>
      </c>
      <c r="Z128">
        <v>0.2</v>
      </c>
      <c r="AA128">
        <v>0.18</v>
      </c>
      <c r="AB128">
        <v>0</v>
      </c>
      <c r="AC128">
        <v>1.2E-2</v>
      </c>
      <c r="AD128">
        <v>4.1000000000000003E-3</v>
      </c>
    </row>
    <row r="129" spans="1:30" x14ac:dyDescent="0.3">
      <c r="A129" t="s">
        <v>49</v>
      </c>
      <c r="B129" t="s">
        <v>139</v>
      </c>
      <c r="C129" t="s">
        <v>4</v>
      </c>
      <c r="D129">
        <v>25</v>
      </c>
      <c r="E129">
        <v>76</v>
      </c>
      <c r="F129">
        <v>2</v>
      </c>
      <c r="G129">
        <v>25</v>
      </c>
      <c r="H129">
        <v>1</v>
      </c>
      <c r="I129" t="s">
        <v>21</v>
      </c>
      <c r="J129">
        <v>700</v>
      </c>
      <c r="K129">
        <v>2</v>
      </c>
      <c r="L129">
        <v>2</v>
      </c>
      <c r="M129">
        <v>0.1</v>
      </c>
      <c r="N129">
        <v>100000</v>
      </c>
      <c r="O129">
        <v>681</v>
      </c>
      <c r="P129">
        <v>0.56079011098986997</v>
      </c>
      <c r="Q129" s="11">
        <v>7.0691746329984542E-7</v>
      </c>
      <c r="R129" s="11">
        <v>25</v>
      </c>
      <c r="S129">
        <v>6.3</v>
      </c>
      <c r="T129">
        <v>0</v>
      </c>
      <c r="U129">
        <v>0</v>
      </c>
      <c r="V129">
        <v>0</v>
      </c>
      <c r="W129">
        <v>0</v>
      </c>
      <c r="X129">
        <v>4.2</v>
      </c>
      <c r="Y129">
        <v>0</v>
      </c>
      <c r="Z129">
        <v>0.19</v>
      </c>
      <c r="AA129">
        <v>0.19</v>
      </c>
      <c r="AB129">
        <v>0</v>
      </c>
      <c r="AC129">
        <v>1.2999999999999999E-2</v>
      </c>
      <c r="AD129">
        <v>4.1000000000000003E-3</v>
      </c>
    </row>
    <row r="130" spans="1:30" x14ac:dyDescent="0.3">
      <c r="A130" t="s">
        <v>50</v>
      </c>
      <c r="B130" t="s">
        <v>139</v>
      </c>
      <c r="C130" t="s">
        <v>4</v>
      </c>
      <c r="D130">
        <v>25</v>
      </c>
      <c r="E130">
        <v>76</v>
      </c>
      <c r="F130">
        <v>2</v>
      </c>
      <c r="G130">
        <v>25</v>
      </c>
      <c r="H130">
        <v>1</v>
      </c>
      <c r="I130" t="s">
        <v>21</v>
      </c>
      <c r="J130">
        <v>700</v>
      </c>
      <c r="K130">
        <v>2</v>
      </c>
      <c r="L130">
        <v>2</v>
      </c>
      <c r="M130">
        <v>0</v>
      </c>
      <c r="N130">
        <v>100000</v>
      </c>
      <c r="O130">
        <v>725</v>
      </c>
      <c r="P130">
        <v>0.56079011098986997</v>
      </c>
      <c r="Q130" s="11">
        <v>7.0837954137056693E-7</v>
      </c>
      <c r="R130" s="11">
        <v>25</v>
      </c>
      <c r="S130">
        <v>6.27</v>
      </c>
      <c r="T130">
        <v>0</v>
      </c>
      <c r="U130">
        <v>0</v>
      </c>
      <c r="V130">
        <v>0</v>
      </c>
      <c r="W130">
        <v>0</v>
      </c>
      <c r="X130">
        <v>4.1900000000000004</v>
      </c>
      <c r="Y130">
        <v>0</v>
      </c>
      <c r="Z130">
        <v>0.2</v>
      </c>
      <c r="AA130">
        <v>0.18</v>
      </c>
      <c r="AB130">
        <v>0</v>
      </c>
      <c r="AC130">
        <v>1.2E-2</v>
      </c>
      <c r="AD130">
        <v>4.1000000000000003E-3</v>
      </c>
    </row>
    <row r="131" spans="1:30" x14ac:dyDescent="0.3">
      <c r="A131" t="s">
        <v>51</v>
      </c>
      <c r="B131" t="s">
        <v>139</v>
      </c>
      <c r="C131" t="s">
        <v>4</v>
      </c>
      <c r="D131">
        <v>25</v>
      </c>
      <c r="E131">
        <v>76</v>
      </c>
      <c r="F131">
        <v>2</v>
      </c>
      <c r="G131">
        <v>25</v>
      </c>
      <c r="H131">
        <v>1</v>
      </c>
      <c r="I131" t="s">
        <v>21</v>
      </c>
      <c r="J131">
        <v>500</v>
      </c>
      <c r="K131">
        <v>24</v>
      </c>
      <c r="L131">
        <v>2</v>
      </c>
      <c r="M131">
        <v>0</v>
      </c>
      <c r="N131">
        <v>100000</v>
      </c>
      <c r="O131">
        <v>740</v>
      </c>
      <c r="P131">
        <v>0.56079011098986997</v>
      </c>
      <c r="Q131" s="11">
        <v>7.0885842006057974E-7</v>
      </c>
      <c r="R131" s="11">
        <v>25</v>
      </c>
      <c r="S131">
        <v>6.27</v>
      </c>
      <c r="T131">
        <v>0</v>
      </c>
      <c r="U131">
        <v>0</v>
      </c>
      <c r="V131">
        <v>0</v>
      </c>
      <c r="W131">
        <v>0</v>
      </c>
      <c r="X131">
        <v>4.1900000000000004</v>
      </c>
      <c r="Y131">
        <v>0</v>
      </c>
      <c r="Z131">
        <v>0.2</v>
      </c>
      <c r="AA131">
        <v>0.18</v>
      </c>
      <c r="AB131">
        <v>0</v>
      </c>
      <c r="AC131">
        <v>1.2E-2</v>
      </c>
      <c r="AD131">
        <v>4.1000000000000003E-3</v>
      </c>
    </row>
    <row r="132" spans="1:30" x14ac:dyDescent="0.3">
      <c r="A132" t="s">
        <v>52</v>
      </c>
      <c r="B132" t="s">
        <v>139</v>
      </c>
      <c r="C132" t="s">
        <v>4</v>
      </c>
      <c r="D132">
        <v>25</v>
      </c>
      <c r="E132">
        <v>76</v>
      </c>
      <c r="F132">
        <v>2</v>
      </c>
      <c r="G132">
        <v>25</v>
      </c>
      <c r="H132">
        <v>1</v>
      </c>
      <c r="I132" t="s">
        <v>21</v>
      </c>
      <c r="J132">
        <v>500</v>
      </c>
      <c r="K132">
        <v>24</v>
      </c>
      <c r="L132">
        <v>2</v>
      </c>
      <c r="M132">
        <v>0</v>
      </c>
      <c r="N132">
        <v>100000</v>
      </c>
      <c r="O132">
        <v>1100</v>
      </c>
      <c r="P132">
        <v>0.56079011098986997</v>
      </c>
      <c r="Q132" s="11">
        <v>7.181924152566607E-7</v>
      </c>
      <c r="R132" s="11">
        <v>25</v>
      </c>
      <c r="S132">
        <v>6.27</v>
      </c>
      <c r="T132">
        <v>0</v>
      </c>
      <c r="U132">
        <v>0</v>
      </c>
      <c r="V132">
        <v>0</v>
      </c>
      <c r="W132">
        <v>0</v>
      </c>
      <c r="X132">
        <v>4.1900000000000004</v>
      </c>
      <c r="Y132">
        <v>0</v>
      </c>
      <c r="Z132">
        <v>0.2</v>
      </c>
      <c r="AA132">
        <v>0.18</v>
      </c>
      <c r="AB132">
        <v>0</v>
      </c>
      <c r="AC132">
        <v>1.2E-2</v>
      </c>
      <c r="AD132">
        <v>4.1000000000000003E-3</v>
      </c>
    </row>
    <row r="133" spans="1:30" x14ac:dyDescent="0.3">
      <c r="A133" t="s">
        <v>53</v>
      </c>
      <c r="B133" t="s">
        <v>139</v>
      </c>
      <c r="C133" t="s">
        <v>4</v>
      </c>
      <c r="D133">
        <v>25</v>
      </c>
      <c r="E133">
        <v>76</v>
      </c>
      <c r="F133">
        <v>2</v>
      </c>
      <c r="G133">
        <v>25</v>
      </c>
      <c r="H133">
        <v>1</v>
      </c>
      <c r="I133" t="s">
        <v>21</v>
      </c>
      <c r="J133">
        <v>500</v>
      </c>
      <c r="K133">
        <v>24</v>
      </c>
      <c r="L133">
        <v>2</v>
      </c>
      <c r="M133">
        <v>0</v>
      </c>
      <c r="N133">
        <v>100000</v>
      </c>
      <c r="O133">
        <v>740</v>
      </c>
      <c r="P133">
        <v>0.56079011098986997</v>
      </c>
      <c r="Q133" s="11">
        <v>7.0885842006057974E-7</v>
      </c>
      <c r="R133" s="11">
        <v>25</v>
      </c>
      <c r="S133">
        <v>6.27</v>
      </c>
      <c r="T133">
        <v>0</v>
      </c>
      <c r="U133">
        <v>0</v>
      </c>
      <c r="V133">
        <v>0</v>
      </c>
      <c r="W133">
        <v>0</v>
      </c>
      <c r="X133">
        <v>4.1900000000000004</v>
      </c>
      <c r="Y133">
        <v>0</v>
      </c>
      <c r="Z133">
        <v>0.2</v>
      </c>
      <c r="AA133">
        <v>0.18</v>
      </c>
      <c r="AB133">
        <v>0</v>
      </c>
      <c r="AC133">
        <v>1.2E-2</v>
      </c>
      <c r="AD133">
        <v>4.1000000000000003E-3</v>
      </c>
    </row>
    <row r="134" spans="1:30" x14ac:dyDescent="0.3">
      <c r="A134" t="s">
        <v>54</v>
      </c>
      <c r="B134" t="s">
        <v>139</v>
      </c>
      <c r="C134" t="s">
        <v>4</v>
      </c>
      <c r="D134">
        <v>25</v>
      </c>
      <c r="E134">
        <v>76</v>
      </c>
      <c r="F134">
        <v>2</v>
      </c>
      <c r="G134">
        <v>1050</v>
      </c>
      <c r="H134">
        <v>0.25</v>
      </c>
      <c r="I134" t="s">
        <v>21</v>
      </c>
      <c r="J134">
        <v>500</v>
      </c>
      <c r="K134">
        <v>24</v>
      </c>
      <c r="L134">
        <v>2</v>
      </c>
      <c r="M134">
        <v>-1</v>
      </c>
      <c r="N134">
        <v>100000</v>
      </c>
      <c r="O134">
        <v>650</v>
      </c>
      <c r="P134">
        <v>0.56079011098986997</v>
      </c>
      <c r="Q134" s="11">
        <v>7.0583143531183495E-7</v>
      </c>
      <c r="R134" s="11">
        <v>25</v>
      </c>
      <c r="S134">
        <v>6.4</v>
      </c>
      <c r="T134">
        <v>0</v>
      </c>
      <c r="U134">
        <v>0</v>
      </c>
      <c r="V134">
        <v>0</v>
      </c>
      <c r="W134">
        <v>0</v>
      </c>
      <c r="X134">
        <v>4</v>
      </c>
      <c r="Y134">
        <v>0</v>
      </c>
      <c r="Z134">
        <v>0</v>
      </c>
      <c r="AA134">
        <v>0.19</v>
      </c>
      <c r="AB134">
        <v>0</v>
      </c>
      <c r="AC134">
        <v>0</v>
      </c>
      <c r="AD134">
        <v>0</v>
      </c>
    </row>
    <row r="135" spans="1:30" x14ac:dyDescent="0.3">
      <c r="A135" t="s">
        <v>55</v>
      </c>
      <c r="B135" t="s">
        <v>139</v>
      </c>
      <c r="C135" t="s">
        <v>4</v>
      </c>
      <c r="D135">
        <v>25</v>
      </c>
      <c r="E135">
        <v>76</v>
      </c>
      <c r="F135">
        <v>2</v>
      </c>
      <c r="G135">
        <v>25</v>
      </c>
      <c r="H135">
        <v>5</v>
      </c>
      <c r="I135" t="s">
        <v>21</v>
      </c>
      <c r="J135">
        <v>1300</v>
      </c>
      <c r="K135">
        <v>4</v>
      </c>
      <c r="L135">
        <v>2</v>
      </c>
      <c r="M135">
        <v>0</v>
      </c>
      <c r="N135">
        <v>100000</v>
      </c>
      <c r="O135">
        <v>306.27999999999997</v>
      </c>
      <c r="P135">
        <v>0.54440322001040764</v>
      </c>
      <c r="Q135" s="11">
        <v>6.8852033397453758E-7</v>
      </c>
      <c r="R135" s="11">
        <v>25</v>
      </c>
      <c r="S135">
        <v>8.67</v>
      </c>
      <c r="T135">
        <v>0</v>
      </c>
      <c r="U135">
        <v>0</v>
      </c>
      <c r="V135">
        <v>18.7</v>
      </c>
      <c r="W135">
        <v>0</v>
      </c>
      <c r="X135">
        <v>0</v>
      </c>
      <c r="Y135">
        <v>0</v>
      </c>
      <c r="Z135">
        <v>0</v>
      </c>
      <c r="AA135">
        <v>2E-3</v>
      </c>
      <c r="AB135">
        <v>1.6E-2</v>
      </c>
      <c r="AC135">
        <v>0.53</v>
      </c>
      <c r="AD135">
        <v>2.3E-2</v>
      </c>
    </row>
    <row r="136" spans="1:30" x14ac:dyDescent="0.3">
      <c r="A136" t="s">
        <v>56</v>
      </c>
      <c r="B136" t="s">
        <v>139</v>
      </c>
      <c r="C136" t="s">
        <v>4</v>
      </c>
      <c r="D136">
        <v>25</v>
      </c>
      <c r="E136">
        <v>76</v>
      </c>
      <c r="F136">
        <v>2</v>
      </c>
      <c r="G136">
        <v>25</v>
      </c>
      <c r="H136">
        <v>5</v>
      </c>
      <c r="I136" t="s">
        <v>21</v>
      </c>
      <c r="J136">
        <v>1300</v>
      </c>
      <c r="K136">
        <v>4</v>
      </c>
      <c r="L136">
        <v>2</v>
      </c>
      <c r="M136">
        <v>0</v>
      </c>
      <c r="N136">
        <v>100000</v>
      </c>
      <c r="O136">
        <v>227.24</v>
      </c>
      <c r="P136">
        <v>0.62064861764874568</v>
      </c>
      <c r="Q136" s="11">
        <v>6.817715171308147E-7</v>
      </c>
      <c r="R136" s="11">
        <v>25</v>
      </c>
      <c r="S136">
        <v>8.67</v>
      </c>
      <c r="T136">
        <v>0</v>
      </c>
      <c r="U136">
        <v>0</v>
      </c>
      <c r="V136">
        <v>18.7</v>
      </c>
      <c r="W136">
        <v>0</v>
      </c>
      <c r="X136">
        <v>0</v>
      </c>
      <c r="Y136">
        <v>0</v>
      </c>
      <c r="Z136">
        <v>0</v>
      </c>
      <c r="AA136">
        <v>2E-3</v>
      </c>
      <c r="AB136">
        <v>1.6E-2</v>
      </c>
      <c r="AC136">
        <v>0.53</v>
      </c>
      <c r="AD136">
        <v>2.3E-2</v>
      </c>
    </row>
    <row r="137" spans="1:30" x14ac:dyDescent="0.3">
      <c r="A137" t="s">
        <v>57</v>
      </c>
      <c r="B137" t="s">
        <v>139</v>
      </c>
      <c r="C137" t="s">
        <v>4</v>
      </c>
      <c r="D137">
        <v>25</v>
      </c>
      <c r="E137">
        <v>76</v>
      </c>
      <c r="F137">
        <v>2</v>
      </c>
      <c r="G137">
        <v>970</v>
      </c>
      <c r="H137">
        <v>0.5</v>
      </c>
      <c r="I137" t="s">
        <v>21</v>
      </c>
      <c r="J137">
        <v>700</v>
      </c>
      <c r="K137">
        <v>0.5</v>
      </c>
      <c r="L137">
        <v>2</v>
      </c>
      <c r="M137">
        <v>-1</v>
      </c>
      <c r="N137">
        <v>112665</v>
      </c>
      <c r="O137">
        <v>461.077</v>
      </c>
      <c r="P137">
        <v>0.67667254422990641</v>
      </c>
      <c r="Q137" s="11">
        <v>6.9787779435800053E-7</v>
      </c>
      <c r="R137" s="11">
        <v>25</v>
      </c>
      <c r="S137">
        <v>6.22</v>
      </c>
      <c r="T137">
        <v>0</v>
      </c>
      <c r="U137">
        <v>0</v>
      </c>
      <c r="V137">
        <v>0</v>
      </c>
      <c r="W137">
        <v>0</v>
      </c>
      <c r="X137">
        <v>4.01</v>
      </c>
      <c r="Y137">
        <v>0</v>
      </c>
      <c r="Z137">
        <v>0.2</v>
      </c>
      <c r="AA137">
        <v>0.2</v>
      </c>
      <c r="AB137">
        <v>0.02</v>
      </c>
      <c r="AC137">
        <v>0.01</v>
      </c>
      <c r="AD137">
        <v>1E-3</v>
      </c>
    </row>
    <row r="138" spans="1:30" x14ac:dyDescent="0.3">
      <c r="A138" t="s">
        <v>58</v>
      </c>
      <c r="B138" t="s">
        <v>139</v>
      </c>
      <c r="C138" t="s">
        <v>4</v>
      </c>
      <c r="D138">
        <v>25</v>
      </c>
      <c r="E138">
        <v>76</v>
      </c>
      <c r="F138">
        <v>2</v>
      </c>
      <c r="G138">
        <v>970</v>
      </c>
      <c r="H138">
        <v>0.5</v>
      </c>
      <c r="I138" t="s">
        <v>21</v>
      </c>
      <c r="J138">
        <v>700</v>
      </c>
      <c r="K138">
        <v>0.5</v>
      </c>
      <c r="L138">
        <v>2</v>
      </c>
      <c r="M138">
        <v>-1</v>
      </c>
      <c r="N138">
        <v>145241</v>
      </c>
      <c r="O138">
        <v>550.01700000000005</v>
      </c>
      <c r="P138">
        <v>0.58980591855772457</v>
      </c>
      <c r="Q138" s="11">
        <v>7.0195176019542378E-7</v>
      </c>
      <c r="R138" s="11">
        <v>25</v>
      </c>
      <c r="S138">
        <v>6.22</v>
      </c>
      <c r="T138">
        <v>0</v>
      </c>
      <c r="U138">
        <v>0</v>
      </c>
      <c r="V138">
        <v>0</v>
      </c>
      <c r="W138">
        <v>0</v>
      </c>
      <c r="X138">
        <v>4.01</v>
      </c>
      <c r="Y138">
        <v>0</v>
      </c>
      <c r="Z138">
        <v>0.2</v>
      </c>
      <c r="AA138">
        <v>0.2</v>
      </c>
      <c r="AB138">
        <v>0.02</v>
      </c>
      <c r="AC138">
        <v>0.01</v>
      </c>
      <c r="AD138">
        <v>1E-3</v>
      </c>
    </row>
    <row r="139" spans="1:30" x14ac:dyDescent="0.3">
      <c r="A139" t="s">
        <v>59</v>
      </c>
      <c r="B139" t="s">
        <v>139</v>
      </c>
      <c r="C139" t="s">
        <v>4</v>
      </c>
      <c r="D139">
        <v>25</v>
      </c>
      <c r="E139">
        <v>76</v>
      </c>
      <c r="F139">
        <v>2</v>
      </c>
      <c r="G139">
        <v>970</v>
      </c>
      <c r="H139">
        <v>0.5</v>
      </c>
      <c r="I139" t="s">
        <v>21</v>
      </c>
      <c r="J139">
        <v>700</v>
      </c>
      <c r="K139">
        <v>0.5</v>
      </c>
      <c r="L139">
        <v>2</v>
      </c>
      <c r="M139">
        <v>-1</v>
      </c>
      <c r="N139">
        <v>233388</v>
      </c>
      <c r="O139">
        <v>600.83000000000004</v>
      </c>
      <c r="P139">
        <v>0.58980591855772457</v>
      </c>
      <c r="Q139" s="11">
        <v>7.0400162043188781E-7</v>
      </c>
      <c r="R139" s="11">
        <v>25</v>
      </c>
      <c r="S139">
        <v>6.22</v>
      </c>
      <c r="T139">
        <v>0</v>
      </c>
      <c r="U139">
        <v>0</v>
      </c>
      <c r="V139">
        <v>0</v>
      </c>
      <c r="W139">
        <v>0</v>
      </c>
      <c r="X139">
        <v>4.01</v>
      </c>
      <c r="Y139">
        <v>0</v>
      </c>
      <c r="Z139">
        <v>0.2</v>
      </c>
      <c r="AA139">
        <v>0.2</v>
      </c>
      <c r="AB139">
        <v>0.02</v>
      </c>
      <c r="AC139">
        <v>0.01</v>
      </c>
      <c r="AD139">
        <v>1E-3</v>
      </c>
    </row>
    <row r="140" spans="1:30" x14ac:dyDescent="0.3">
      <c r="A140" t="s">
        <v>60</v>
      </c>
      <c r="B140" t="s">
        <v>139</v>
      </c>
      <c r="C140" t="s">
        <v>4</v>
      </c>
      <c r="D140">
        <v>25</v>
      </c>
      <c r="E140">
        <v>76</v>
      </c>
      <c r="F140">
        <v>2</v>
      </c>
      <c r="G140">
        <v>25</v>
      </c>
      <c r="H140">
        <v>1</v>
      </c>
      <c r="I140" t="s">
        <v>21</v>
      </c>
      <c r="J140">
        <v>600</v>
      </c>
      <c r="K140">
        <v>8</v>
      </c>
      <c r="L140">
        <v>2</v>
      </c>
      <c r="M140">
        <v>0.1</v>
      </c>
      <c r="N140">
        <v>290000</v>
      </c>
      <c r="O140">
        <v>730</v>
      </c>
      <c r="P140">
        <v>0.97177920839610765</v>
      </c>
      <c r="Q140" s="11">
        <v>7.085402236252149E-7</v>
      </c>
      <c r="R140" s="11">
        <v>25</v>
      </c>
      <c r="S140">
        <v>6.2</v>
      </c>
      <c r="T140">
        <v>1.95</v>
      </c>
      <c r="U140">
        <v>3.8</v>
      </c>
      <c r="V140">
        <v>0</v>
      </c>
      <c r="W140">
        <v>2</v>
      </c>
      <c r="X140">
        <v>0</v>
      </c>
      <c r="Y140">
        <v>0</v>
      </c>
      <c r="Z140">
        <v>0</v>
      </c>
      <c r="AA140">
        <v>0.03</v>
      </c>
      <c r="AB140">
        <v>2.1000000000000001E-2</v>
      </c>
      <c r="AC140">
        <v>4.0000000000000001E-3</v>
      </c>
      <c r="AD140">
        <v>8.0000000000000002E-3</v>
      </c>
    </row>
    <row r="141" spans="1:30" x14ac:dyDescent="0.3">
      <c r="A141" t="s">
        <v>61</v>
      </c>
      <c r="B141" t="s">
        <v>139</v>
      </c>
      <c r="C141" t="s">
        <v>4</v>
      </c>
      <c r="D141">
        <v>25</v>
      </c>
      <c r="E141">
        <v>76</v>
      </c>
      <c r="F141">
        <v>2</v>
      </c>
      <c r="G141">
        <v>970</v>
      </c>
      <c r="H141">
        <v>0.5</v>
      </c>
      <c r="I141" t="s">
        <v>21</v>
      </c>
      <c r="J141">
        <v>700</v>
      </c>
      <c r="K141">
        <v>0.5</v>
      </c>
      <c r="L141">
        <v>2</v>
      </c>
      <c r="M141">
        <v>-1</v>
      </c>
      <c r="N141">
        <v>321569</v>
      </c>
      <c r="O141">
        <v>430.28</v>
      </c>
      <c r="P141">
        <v>0.56567879038870927</v>
      </c>
      <c r="Q141" s="11">
        <v>6.9628757264995223E-7</v>
      </c>
      <c r="R141" s="11">
        <v>25</v>
      </c>
      <c r="S141">
        <v>6.22</v>
      </c>
      <c r="T141">
        <v>0</v>
      </c>
      <c r="U141">
        <v>0</v>
      </c>
      <c r="V141">
        <v>0</v>
      </c>
      <c r="W141">
        <v>0</v>
      </c>
      <c r="X141">
        <v>4.01</v>
      </c>
      <c r="Y141">
        <v>0</v>
      </c>
      <c r="Z141">
        <v>0.2</v>
      </c>
      <c r="AA141">
        <v>0.2</v>
      </c>
      <c r="AB141">
        <v>0.02</v>
      </c>
      <c r="AC141">
        <v>0.01</v>
      </c>
      <c r="AD141">
        <v>1E-3</v>
      </c>
    </row>
    <row r="142" spans="1:30" x14ac:dyDescent="0.3">
      <c r="A142" t="s">
        <v>62</v>
      </c>
      <c r="B142" t="s">
        <v>139</v>
      </c>
      <c r="C142" t="s">
        <v>4</v>
      </c>
      <c r="D142">
        <v>25</v>
      </c>
      <c r="E142">
        <v>76</v>
      </c>
      <c r="F142">
        <v>2</v>
      </c>
      <c r="G142">
        <v>970</v>
      </c>
      <c r="H142">
        <v>0.5</v>
      </c>
      <c r="I142" t="s">
        <v>21</v>
      </c>
      <c r="J142">
        <v>700</v>
      </c>
      <c r="K142">
        <v>0.5</v>
      </c>
      <c r="L142">
        <v>2</v>
      </c>
      <c r="M142">
        <v>-1</v>
      </c>
      <c r="N142">
        <v>390678</v>
      </c>
      <c r="O142">
        <v>541.21</v>
      </c>
      <c r="P142">
        <v>0.58980591855772457</v>
      </c>
      <c r="Q142" s="11">
        <v>7.015779442168557E-7</v>
      </c>
      <c r="R142" s="11">
        <v>25</v>
      </c>
      <c r="S142">
        <v>6.22</v>
      </c>
      <c r="T142">
        <v>0</v>
      </c>
      <c r="U142">
        <v>0</v>
      </c>
      <c r="V142">
        <v>0</v>
      </c>
      <c r="W142">
        <v>0</v>
      </c>
      <c r="X142">
        <v>4.01</v>
      </c>
      <c r="Y142">
        <v>0</v>
      </c>
      <c r="Z142">
        <v>0.2</v>
      </c>
      <c r="AA142">
        <v>0.2</v>
      </c>
      <c r="AB142">
        <v>0.02</v>
      </c>
      <c r="AC142">
        <v>0.01</v>
      </c>
      <c r="AD142">
        <v>1E-3</v>
      </c>
    </row>
    <row r="143" spans="1:30" x14ac:dyDescent="0.3">
      <c r="A143" t="s">
        <v>63</v>
      </c>
      <c r="B143" t="s">
        <v>139</v>
      </c>
      <c r="C143" t="s">
        <v>4</v>
      </c>
      <c r="D143">
        <v>25</v>
      </c>
      <c r="E143">
        <v>76</v>
      </c>
      <c r="F143">
        <v>2</v>
      </c>
      <c r="G143">
        <v>970</v>
      </c>
      <c r="H143">
        <v>0.5</v>
      </c>
      <c r="I143" t="s">
        <v>21</v>
      </c>
      <c r="J143">
        <v>700</v>
      </c>
      <c r="K143">
        <v>0.5</v>
      </c>
      <c r="L143">
        <v>2</v>
      </c>
      <c r="M143">
        <v>-1</v>
      </c>
      <c r="N143">
        <v>452387</v>
      </c>
      <c r="O143">
        <v>400.68099999999998</v>
      </c>
      <c r="P143">
        <v>0.58980591855772457</v>
      </c>
      <c r="Q143" s="11">
        <v>6.9465187834805137E-7</v>
      </c>
      <c r="R143" s="11">
        <v>25</v>
      </c>
      <c r="S143">
        <v>6.22</v>
      </c>
      <c r="T143">
        <v>0</v>
      </c>
      <c r="U143">
        <v>0</v>
      </c>
      <c r="V143">
        <v>0</v>
      </c>
      <c r="W143">
        <v>0</v>
      </c>
      <c r="X143">
        <v>4.01</v>
      </c>
      <c r="Y143">
        <v>0</v>
      </c>
      <c r="Z143">
        <v>0.2</v>
      </c>
      <c r="AA143">
        <v>0.2</v>
      </c>
      <c r="AB143">
        <v>0.02</v>
      </c>
      <c r="AC143">
        <v>0.01</v>
      </c>
      <c r="AD143">
        <v>1E-3</v>
      </c>
    </row>
    <row r="144" spans="1:30" x14ac:dyDescent="0.3">
      <c r="A144" t="s">
        <v>64</v>
      </c>
      <c r="B144" t="s">
        <v>139</v>
      </c>
      <c r="C144" t="s">
        <v>4</v>
      </c>
      <c r="D144">
        <v>25</v>
      </c>
      <c r="E144">
        <v>76</v>
      </c>
      <c r="F144">
        <v>2</v>
      </c>
      <c r="G144">
        <v>970</v>
      </c>
      <c r="H144">
        <v>0.5</v>
      </c>
      <c r="I144" t="s">
        <v>21</v>
      </c>
      <c r="J144">
        <v>700</v>
      </c>
      <c r="K144">
        <v>0.5</v>
      </c>
      <c r="L144">
        <v>2</v>
      </c>
      <c r="M144">
        <v>-1</v>
      </c>
      <c r="N144">
        <v>481796</v>
      </c>
      <c r="O144">
        <v>370.73099999999999</v>
      </c>
      <c r="P144">
        <v>0.58980591855772457</v>
      </c>
      <c r="Q144" s="11">
        <v>6.9287325759640071E-7</v>
      </c>
      <c r="R144" s="11">
        <v>25</v>
      </c>
      <c r="S144">
        <v>6.22</v>
      </c>
      <c r="T144">
        <v>0</v>
      </c>
      <c r="U144">
        <v>0</v>
      </c>
      <c r="V144">
        <v>0</v>
      </c>
      <c r="W144">
        <v>0</v>
      </c>
      <c r="X144">
        <v>4.01</v>
      </c>
      <c r="Y144">
        <v>0</v>
      </c>
      <c r="Z144">
        <v>0.2</v>
      </c>
      <c r="AA144">
        <v>0.2</v>
      </c>
      <c r="AB144">
        <v>0.02</v>
      </c>
      <c r="AC144">
        <v>0.01</v>
      </c>
      <c r="AD144">
        <v>1E-3</v>
      </c>
    </row>
    <row r="145" spans="1:30" x14ac:dyDescent="0.3">
      <c r="A145" t="s">
        <v>65</v>
      </c>
      <c r="B145" t="s">
        <v>139</v>
      </c>
      <c r="C145" t="s">
        <v>4</v>
      </c>
      <c r="D145">
        <v>25</v>
      </c>
      <c r="E145">
        <v>76</v>
      </c>
      <c r="F145">
        <v>2</v>
      </c>
      <c r="G145">
        <v>970</v>
      </c>
      <c r="H145">
        <v>0.5</v>
      </c>
      <c r="I145" t="s">
        <v>21</v>
      </c>
      <c r="J145">
        <v>700</v>
      </c>
      <c r="K145">
        <v>0.5</v>
      </c>
      <c r="L145">
        <v>2</v>
      </c>
      <c r="M145">
        <v>-1</v>
      </c>
      <c r="N145">
        <v>496004</v>
      </c>
      <c r="O145">
        <v>550.17700000000002</v>
      </c>
      <c r="P145">
        <v>0.58980591855772457</v>
      </c>
      <c r="Q145" s="11">
        <v>7.0195849777644537E-7</v>
      </c>
      <c r="R145" s="11">
        <v>25</v>
      </c>
      <c r="S145">
        <v>6.22</v>
      </c>
      <c r="T145">
        <v>0</v>
      </c>
      <c r="U145">
        <v>0</v>
      </c>
      <c r="V145">
        <v>0</v>
      </c>
      <c r="W145">
        <v>0</v>
      </c>
      <c r="X145">
        <v>4.01</v>
      </c>
      <c r="Y145">
        <v>0</v>
      </c>
      <c r="Z145">
        <v>0.2</v>
      </c>
      <c r="AA145">
        <v>0.2</v>
      </c>
      <c r="AB145">
        <v>0.02</v>
      </c>
      <c r="AC145">
        <v>0.01</v>
      </c>
      <c r="AD145">
        <v>1E-3</v>
      </c>
    </row>
    <row r="146" spans="1:30" x14ac:dyDescent="0.3">
      <c r="A146" t="s">
        <v>66</v>
      </c>
      <c r="B146" t="s">
        <v>139</v>
      </c>
      <c r="C146" t="s">
        <v>4</v>
      </c>
      <c r="D146">
        <v>25</v>
      </c>
      <c r="E146">
        <v>76</v>
      </c>
      <c r="F146">
        <v>2</v>
      </c>
      <c r="G146">
        <v>970</v>
      </c>
      <c r="H146">
        <v>0.5</v>
      </c>
      <c r="I146" t="s">
        <v>21</v>
      </c>
      <c r="J146">
        <v>700</v>
      </c>
      <c r="K146">
        <v>0.5</v>
      </c>
      <c r="L146">
        <v>2</v>
      </c>
      <c r="M146">
        <v>-1</v>
      </c>
      <c r="N146">
        <v>505165</v>
      </c>
      <c r="O146">
        <v>500.71</v>
      </c>
      <c r="P146">
        <v>0.58980591855772457</v>
      </c>
      <c r="Q146" s="11">
        <v>6.9977947859857896E-7</v>
      </c>
      <c r="R146" s="11">
        <v>25</v>
      </c>
      <c r="S146">
        <v>6.22</v>
      </c>
      <c r="T146">
        <v>0</v>
      </c>
      <c r="U146">
        <v>0</v>
      </c>
      <c r="V146">
        <v>0</v>
      </c>
      <c r="W146">
        <v>0</v>
      </c>
      <c r="X146">
        <v>4.01</v>
      </c>
      <c r="Y146">
        <v>0</v>
      </c>
      <c r="Z146">
        <v>0.2</v>
      </c>
      <c r="AA146">
        <v>0.2</v>
      </c>
      <c r="AB146">
        <v>0.02</v>
      </c>
      <c r="AC146">
        <v>0.01</v>
      </c>
      <c r="AD146">
        <v>1E-3</v>
      </c>
    </row>
    <row r="147" spans="1:30" x14ac:dyDescent="0.3">
      <c r="A147" t="s">
        <v>67</v>
      </c>
      <c r="B147" t="s">
        <v>139</v>
      </c>
      <c r="C147" t="s">
        <v>4</v>
      </c>
      <c r="D147">
        <v>25</v>
      </c>
      <c r="E147">
        <v>76</v>
      </c>
      <c r="F147">
        <v>2</v>
      </c>
      <c r="G147">
        <v>970</v>
      </c>
      <c r="H147">
        <v>0.5</v>
      </c>
      <c r="I147" t="s">
        <v>21</v>
      </c>
      <c r="J147">
        <v>700</v>
      </c>
      <c r="K147">
        <v>0.5</v>
      </c>
      <c r="L147">
        <v>2</v>
      </c>
      <c r="M147">
        <v>-1</v>
      </c>
      <c r="N147">
        <v>517945</v>
      </c>
      <c r="O147">
        <v>499.9</v>
      </c>
      <c r="P147">
        <v>0.58980591855772457</v>
      </c>
      <c r="Q147" s="11">
        <v>6.9974209218454186E-7</v>
      </c>
      <c r="R147" s="11">
        <v>25</v>
      </c>
      <c r="S147">
        <v>6.22</v>
      </c>
      <c r="T147">
        <v>0</v>
      </c>
      <c r="U147">
        <v>0</v>
      </c>
      <c r="V147">
        <v>0</v>
      </c>
      <c r="W147">
        <v>0</v>
      </c>
      <c r="X147">
        <v>4.01</v>
      </c>
      <c r="Y147">
        <v>0</v>
      </c>
      <c r="Z147">
        <v>0.2</v>
      </c>
      <c r="AA147">
        <v>0.2</v>
      </c>
      <c r="AB147">
        <v>0.02</v>
      </c>
      <c r="AC147">
        <v>0.01</v>
      </c>
      <c r="AD147">
        <v>1E-3</v>
      </c>
    </row>
    <row r="148" spans="1:30" x14ac:dyDescent="0.3">
      <c r="A148" t="s">
        <v>68</v>
      </c>
      <c r="B148" t="s">
        <v>139</v>
      </c>
      <c r="C148" t="s">
        <v>4</v>
      </c>
      <c r="D148">
        <v>25</v>
      </c>
      <c r="E148">
        <v>76</v>
      </c>
      <c r="F148">
        <v>2</v>
      </c>
      <c r="G148">
        <v>970</v>
      </c>
      <c r="H148">
        <v>0.5</v>
      </c>
      <c r="I148" t="s">
        <v>21</v>
      </c>
      <c r="J148">
        <v>700</v>
      </c>
      <c r="K148">
        <v>0.5</v>
      </c>
      <c r="L148">
        <v>2</v>
      </c>
      <c r="M148">
        <v>-1</v>
      </c>
      <c r="N148">
        <v>554811</v>
      </c>
      <c r="O148">
        <v>340.37599999999998</v>
      </c>
      <c r="P148">
        <v>0.56567879038870927</v>
      </c>
      <c r="Q148" s="11">
        <v>6.9092276184633277E-7</v>
      </c>
      <c r="R148" s="11">
        <v>25</v>
      </c>
      <c r="S148">
        <v>6.22</v>
      </c>
      <c r="T148">
        <v>0</v>
      </c>
      <c r="U148">
        <v>0</v>
      </c>
      <c r="V148">
        <v>0</v>
      </c>
      <c r="W148">
        <v>0</v>
      </c>
      <c r="X148">
        <v>4.01</v>
      </c>
      <c r="Y148">
        <v>0</v>
      </c>
      <c r="Z148">
        <v>0.2</v>
      </c>
      <c r="AA148">
        <v>0.2</v>
      </c>
      <c r="AB148">
        <v>0.02</v>
      </c>
      <c r="AC148">
        <v>0.01</v>
      </c>
      <c r="AD148">
        <v>1E-3</v>
      </c>
    </row>
    <row r="149" spans="1:30" x14ac:dyDescent="0.3">
      <c r="A149" t="s">
        <v>69</v>
      </c>
      <c r="B149" t="s">
        <v>139</v>
      </c>
      <c r="C149" t="s">
        <v>4</v>
      </c>
      <c r="D149">
        <v>25</v>
      </c>
      <c r="E149">
        <v>76</v>
      </c>
      <c r="F149">
        <v>2</v>
      </c>
      <c r="G149">
        <v>970</v>
      </c>
      <c r="H149">
        <v>0.5</v>
      </c>
      <c r="I149" t="s">
        <v>21</v>
      </c>
      <c r="J149">
        <v>700</v>
      </c>
      <c r="K149">
        <v>0.5</v>
      </c>
      <c r="L149">
        <v>2</v>
      </c>
      <c r="M149">
        <v>-1</v>
      </c>
      <c r="N149">
        <v>566076</v>
      </c>
      <c r="O149">
        <v>429.52300000000002</v>
      </c>
      <c r="P149">
        <v>0.58980591855772457</v>
      </c>
      <c r="Q149" s="11">
        <v>6.962471134773593E-7</v>
      </c>
      <c r="R149" s="11">
        <v>25</v>
      </c>
      <c r="S149">
        <v>6.22</v>
      </c>
      <c r="T149">
        <v>0</v>
      </c>
      <c r="U149">
        <v>0</v>
      </c>
      <c r="V149">
        <v>0</v>
      </c>
      <c r="W149">
        <v>0</v>
      </c>
      <c r="X149">
        <v>4.01</v>
      </c>
      <c r="Y149">
        <v>0</v>
      </c>
      <c r="Z149">
        <v>0.2</v>
      </c>
      <c r="AA149">
        <v>0.2</v>
      </c>
      <c r="AB149">
        <v>0.02</v>
      </c>
      <c r="AC149">
        <v>0.01</v>
      </c>
      <c r="AD149">
        <v>1E-3</v>
      </c>
    </row>
    <row r="150" spans="1:30" x14ac:dyDescent="0.3">
      <c r="A150" t="s">
        <v>70</v>
      </c>
      <c r="B150" t="s">
        <v>139</v>
      </c>
      <c r="C150" t="s">
        <v>4</v>
      </c>
      <c r="D150">
        <v>25</v>
      </c>
      <c r="E150">
        <v>76</v>
      </c>
      <c r="F150">
        <v>2</v>
      </c>
      <c r="G150">
        <v>25</v>
      </c>
      <c r="H150">
        <v>1</v>
      </c>
      <c r="I150" t="s">
        <v>21</v>
      </c>
      <c r="J150">
        <v>600</v>
      </c>
      <c r="K150">
        <v>8</v>
      </c>
      <c r="L150">
        <v>2</v>
      </c>
      <c r="M150">
        <v>0.1</v>
      </c>
      <c r="N150">
        <v>600000</v>
      </c>
      <c r="O150">
        <v>951</v>
      </c>
      <c r="P150">
        <v>0.91900489211114056</v>
      </c>
      <c r="Q150" s="11">
        <v>7.1475106761584809E-7</v>
      </c>
      <c r="R150" s="11">
        <v>25</v>
      </c>
      <c r="S150">
        <v>6.2</v>
      </c>
      <c r="T150">
        <v>1.95</v>
      </c>
      <c r="U150">
        <v>3.8</v>
      </c>
      <c r="V150">
        <v>0</v>
      </c>
      <c r="W150">
        <v>2</v>
      </c>
      <c r="X150">
        <v>0</v>
      </c>
      <c r="Y150">
        <v>0</v>
      </c>
      <c r="Z150">
        <v>0</v>
      </c>
      <c r="AA150">
        <v>0.03</v>
      </c>
      <c r="AB150">
        <v>2.1000000000000001E-2</v>
      </c>
      <c r="AC150">
        <v>4.0000000000000001E-3</v>
      </c>
      <c r="AD150">
        <v>8.0000000000000002E-3</v>
      </c>
    </row>
    <row r="151" spans="1:30" x14ac:dyDescent="0.3">
      <c r="A151" t="s">
        <v>71</v>
      </c>
      <c r="B151" t="s">
        <v>139</v>
      </c>
      <c r="C151" t="s">
        <v>4</v>
      </c>
      <c r="D151">
        <v>25</v>
      </c>
      <c r="E151">
        <v>76</v>
      </c>
      <c r="F151">
        <v>2</v>
      </c>
      <c r="G151">
        <v>970</v>
      </c>
      <c r="H151">
        <v>0.5</v>
      </c>
      <c r="I151" t="s">
        <v>21</v>
      </c>
      <c r="J151">
        <v>700</v>
      </c>
      <c r="K151">
        <v>0.5</v>
      </c>
      <c r="L151">
        <v>2</v>
      </c>
      <c r="M151">
        <v>-1</v>
      </c>
      <c r="N151">
        <v>600610</v>
      </c>
      <c r="O151">
        <v>429.71</v>
      </c>
      <c r="P151">
        <v>0.58980591855772457</v>
      </c>
      <c r="Q151" s="11">
        <v>6.9625711442439683E-7</v>
      </c>
      <c r="R151" s="11">
        <v>25</v>
      </c>
      <c r="S151">
        <v>6.22</v>
      </c>
      <c r="T151">
        <v>0</v>
      </c>
      <c r="U151">
        <v>0</v>
      </c>
      <c r="V151">
        <v>0</v>
      </c>
      <c r="W151">
        <v>0</v>
      </c>
      <c r="X151">
        <v>4.01</v>
      </c>
      <c r="Y151">
        <v>0</v>
      </c>
      <c r="Z151">
        <v>0.2</v>
      </c>
      <c r="AA151">
        <v>0.2</v>
      </c>
      <c r="AB151">
        <v>0.02</v>
      </c>
      <c r="AC151">
        <v>0.01</v>
      </c>
      <c r="AD151">
        <v>1E-3</v>
      </c>
    </row>
    <row r="152" spans="1:30" x14ac:dyDescent="0.3">
      <c r="A152" t="s">
        <v>72</v>
      </c>
      <c r="B152" t="s">
        <v>139</v>
      </c>
      <c r="C152" t="s">
        <v>4</v>
      </c>
      <c r="D152">
        <v>25</v>
      </c>
      <c r="E152">
        <v>76</v>
      </c>
      <c r="F152">
        <v>2</v>
      </c>
      <c r="G152">
        <v>970</v>
      </c>
      <c r="H152">
        <v>0.5</v>
      </c>
      <c r="I152" t="s">
        <v>21</v>
      </c>
      <c r="J152">
        <v>700</v>
      </c>
      <c r="K152">
        <v>0.5</v>
      </c>
      <c r="L152">
        <v>2</v>
      </c>
      <c r="M152">
        <v>-1</v>
      </c>
      <c r="N152">
        <v>682813</v>
      </c>
      <c r="O152">
        <v>369.73899999999998</v>
      </c>
      <c r="P152">
        <v>0.56567879038870927</v>
      </c>
      <c r="Q152" s="11">
        <v>6.9281199674910817E-7</v>
      </c>
      <c r="R152" s="11">
        <v>25</v>
      </c>
      <c r="S152">
        <v>6.22</v>
      </c>
      <c r="T152">
        <v>0</v>
      </c>
      <c r="U152">
        <v>0</v>
      </c>
      <c r="V152">
        <v>0</v>
      </c>
      <c r="W152">
        <v>0</v>
      </c>
      <c r="X152">
        <v>4.01</v>
      </c>
      <c r="Y152">
        <v>0</v>
      </c>
      <c r="Z152">
        <v>0.2</v>
      </c>
      <c r="AA152">
        <v>0.2</v>
      </c>
      <c r="AB152">
        <v>0.02</v>
      </c>
      <c r="AC152">
        <v>0.01</v>
      </c>
      <c r="AD152">
        <v>1E-3</v>
      </c>
    </row>
    <row r="153" spans="1:30" x14ac:dyDescent="0.3">
      <c r="A153" t="s">
        <v>73</v>
      </c>
      <c r="B153" t="s">
        <v>139</v>
      </c>
      <c r="C153" t="s">
        <v>4</v>
      </c>
      <c r="D153">
        <v>25</v>
      </c>
      <c r="E153">
        <v>76</v>
      </c>
      <c r="F153">
        <v>2</v>
      </c>
      <c r="G153">
        <v>970</v>
      </c>
      <c r="H153">
        <v>0.5</v>
      </c>
      <c r="I153" t="s">
        <v>21</v>
      </c>
      <c r="J153">
        <v>700</v>
      </c>
      <c r="K153">
        <v>0.5</v>
      </c>
      <c r="L153">
        <v>2</v>
      </c>
      <c r="M153">
        <v>-1</v>
      </c>
      <c r="N153">
        <v>718649</v>
      </c>
      <c r="O153">
        <v>369.86799999999999</v>
      </c>
      <c r="P153">
        <v>0.58980591855772457</v>
      </c>
      <c r="Q153" s="11">
        <v>6.9281997211352633E-7</v>
      </c>
      <c r="R153" s="11">
        <v>25</v>
      </c>
      <c r="S153">
        <v>6.22</v>
      </c>
      <c r="T153">
        <v>0</v>
      </c>
      <c r="U153">
        <v>0</v>
      </c>
      <c r="V153">
        <v>0</v>
      </c>
      <c r="W153">
        <v>0</v>
      </c>
      <c r="X153">
        <v>4.01</v>
      </c>
      <c r="Y153">
        <v>0</v>
      </c>
      <c r="Z153">
        <v>0.2</v>
      </c>
      <c r="AA153">
        <v>0.2</v>
      </c>
      <c r="AB153">
        <v>0.02</v>
      </c>
      <c r="AC153">
        <v>0.01</v>
      </c>
      <c r="AD153">
        <v>1E-3</v>
      </c>
    </row>
    <row r="154" spans="1:30" x14ac:dyDescent="0.3">
      <c r="A154" t="s">
        <v>74</v>
      </c>
      <c r="B154" t="s">
        <v>139</v>
      </c>
      <c r="C154" t="s">
        <v>4</v>
      </c>
      <c r="D154">
        <v>25</v>
      </c>
      <c r="E154">
        <v>76</v>
      </c>
      <c r="F154">
        <v>2</v>
      </c>
      <c r="G154">
        <v>970</v>
      </c>
      <c r="H154">
        <v>0.5</v>
      </c>
      <c r="I154" t="s">
        <v>21</v>
      </c>
      <c r="J154">
        <v>700</v>
      </c>
      <c r="K154">
        <v>0.5</v>
      </c>
      <c r="L154">
        <v>2</v>
      </c>
      <c r="M154">
        <v>-1</v>
      </c>
      <c r="N154">
        <v>998314</v>
      </c>
      <c r="O154">
        <v>339.54199999999997</v>
      </c>
      <c r="P154">
        <v>0.58980591855772457</v>
      </c>
      <c r="Q154" s="11">
        <v>6.9086682917183924E-7</v>
      </c>
      <c r="R154" s="11">
        <v>25</v>
      </c>
      <c r="S154">
        <v>6.22</v>
      </c>
      <c r="T154">
        <v>0</v>
      </c>
      <c r="U154">
        <v>0</v>
      </c>
      <c r="V154">
        <v>0</v>
      </c>
      <c r="W154">
        <v>0</v>
      </c>
      <c r="X154">
        <v>4.01</v>
      </c>
      <c r="Y154">
        <v>0</v>
      </c>
      <c r="Z154">
        <v>0.2</v>
      </c>
      <c r="AA154">
        <v>0.2</v>
      </c>
      <c r="AB154">
        <v>0.02</v>
      </c>
      <c r="AC154">
        <v>0.01</v>
      </c>
      <c r="AD154">
        <v>1E-3</v>
      </c>
    </row>
    <row r="155" spans="1:30" x14ac:dyDescent="0.3">
      <c r="A155" t="s">
        <v>75</v>
      </c>
      <c r="B155" t="s">
        <v>139</v>
      </c>
      <c r="C155" t="s">
        <v>4</v>
      </c>
      <c r="D155">
        <v>25</v>
      </c>
      <c r="E155">
        <v>76</v>
      </c>
      <c r="F155">
        <v>2</v>
      </c>
      <c r="G155">
        <v>970</v>
      </c>
      <c r="H155">
        <v>0.5</v>
      </c>
      <c r="I155" t="s">
        <v>21</v>
      </c>
      <c r="J155">
        <v>700</v>
      </c>
      <c r="K155">
        <v>0.5</v>
      </c>
      <c r="L155">
        <v>2</v>
      </c>
      <c r="M155">
        <v>-1</v>
      </c>
      <c r="N155">
        <v>1000000</v>
      </c>
      <c r="O155">
        <v>525</v>
      </c>
      <c r="P155">
        <v>1.0099075945242479</v>
      </c>
      <c r="Q155" s="11">
        <v>7.0087426341600388E-7</v>
      </c>
      <c r="R155" s="11">
        <v>25</v>
      </c>
      <c r="S155">
        <v>5.8</v>
      </c>
      <c r="T155">
        <v>4</v>
      </c>
      <c r="U155">
        <v>3.72</v>
      </c>
      <c r="V155">
        <v>0.69</v>
      </c>
      <c r="W155">
        <v>0.54</v>
      </c>
      <c r="X155">
        <v>0</v>
      </c>
      <c r="Y155">
        <v>0.34</v>
      </c>
      <c r="Z155">
        <v>8.9999999999999993E-3</v>
      </c>
      <c r="AA155">
        <v>0.105</v>
      </c>
      <c r="AB155">
        <v>0.05</v>
      </c>
      <c r="AC155">
        <v>2.5000000000000001E-3</v>
      </c>
      <c r="AD155">
        <v>4.0000000000000001E-3</v>
      </c>
    </row>
    <row r="156" spans="1:30" x14ac:dyDescent="0.3">
      <c r="A156" t="s">
        <v>76</v>
      </c>
      <c r="B156" t="s">
        <v>139</v>
      </c>
      <c r="C156" t="s">
        <v>4</v>
      </c>
      <c r="D156">
        <v>25</v>
      </c>
      <c r="E156">
        <v>76</v>
      </c>
      <c r="F156">
        <v>2</v>
      </c>
      <c r="G156">
        <v>932</v>
      </c>
      <c r="H156">
        <v>1</v>
      </c>
      <c r="I156" t="s">
        <v>21</v>
      </c>
      <c r="J156">
        <v>704</v>
      </c>
      <c r="K156">
        <v>2</v>
      </c>
      <c r="L156">
        <v>2</v>
      </c>
      <c r="M156">
        <v>-1</v>
      </c>
      <c r="N156">
        <v>1000000</v>
      </c>
      <c r="O156">
        <v>300.54500000000002</v>
      </c>
      <c r="P156">
        <v>0.56079011098986997</v>
      </c>
      <c r="Q156" s="11">
        <v>6.8809098725303897E-7</v>
      </c>
      <c r="R156" s="11">
        <v>25</v>
      </c>
      <c r="S156">
        <v>6.22</v>
      </c>
      <c r="T156">
        <v>0</v>
      </c>
      <c r="U156">
        <v>0</v>
      </c>
      <c r="V156">
        <v>0</v>
      </c>
      <c r="W156">
        <v>0</v>
      </c>
      <c r="X156">
        <v>4.01</v>
      </c>
      <c r="Y156">
        <v>0</v>
      </c>
      <c r="Z156">
        <v>0.2</v>
      </c>
      <c r="AA156">
        <v>0.2</v>
      </c>
      <c r="AB156">
        <v>0.02</v>
      </c>
      <c r="AC156">
        <v>0.01</v>
      </c>
      <c r="AD156">
        <v>1E-3</v>
      </c>
    </row>
    <row r="157" spans="1:30" x14ac:dyDescent="0.3">
      <c r="A157" t="s">
        <v>77</v>
      </c>
      <c r="B157" t="s">
        <v>139</v>
      </c>
      <c r="C157" t="s">
        <v>4</v>
      </c>
      <c r="D157">
        <v>25</v>
      </c>
      <c r="E157">
        <v>76</v>
      </c>
      <c r="F157">
        <v>2</v>
      </c>
      <c r="G157">
        <v>932</v>
      </c>
      <c r="H157">
        <v>1</v>
      </c>
      <c r="I157" t="s">
        <v>21</v>
      </c>
      <c r="J157">
        <v>704</v>
      </c>
      <c r="K157">
        <v>2</v>
      </c>
      <c r="L157">
        <v>2</v>
      </c>
      <c r="M157">
        <v>-1</v>
      </c>
      <c r="N157">
        <v>1000000</v>
      </c>
      <c r="O157">
        <v>400</v>
      </c>
      <c r="P157">
        <v>0.56079011098986997</v>
      </c>
      <c r="Q157" s="11">
        <v>6.9461288534764957E-7</v>
      </c>
      <c r="R157" s="11">
        <v>25</v>
      </c>
      <c r="S157">
        <v>6.27</v>
      </c>
      <c r="T157">
        <v>0</v>
      </c>
      <c r="U157">
        <v>0</v>
      </c>
      <c r="V157">
        <v>0</v>
      </c>
      <c r="W157">
        <v>0</v>
      </c>
      <c r="X157">
        <v>4.1900000000000004</v>
      </c>
      <c r="Y157">
        <v>0</v>
      </c>
      <c r="Z157">
        <v>0.2</v>
      </c>
      <c r="AA157">
        <v>0.18</v>
      </c>
      <c r="AB157">
        <v>0</v>
      </c>
      <c r="AC157">
        <v>1.2E-2</v>
      </c>
      <c r="AD157">
        <v>0</v>
      </c>
    </row>
    <row r="158" spans="1:30" x14ac:dyDescent="0.3">
      <c r="A158" t="s">
        <v>78</v>
      </c>
      <c r="B158" t="s">
        <v>139</v>
      </c>
      <c r="C158" t="s">
        <v>4</v>
      </c>
      <c r="D158">
        <v>25</v>
      </c>
      <c r="E158">
        <v>76</v>
      </c>
      <c r="F158">
        <v>2</v>
      </c>
      <c r="G158">
        <v>932</v>
      </c>
      <c r="H158">
        <v>1</v>
      </c>
      <c r="I158" t="s">
        <v>21</v>
      </c>
      <c r="J158">
        <v>704</v>
      </c>
      <c r="K158">
        <v>2</v>
      </c>
      <c r="L158">
        <v>2</v>
      </c>
      <c r="M158">
        <v>0.1</v>
      </c>
      <c r="N158">
        <v>1000000</v>
      </c>
      <c r="O158">
        <v>611</v>
      </c>
      <c r="P158">
        <v>0.53784992938427523</v>
      </c>
      <c r="Q158" s="11">
        <v>7.0439167675960005E-7</v>
      </c>
      <c r="R158" s="11">
        <v>25</v>
      </c>
      <c r="S158">
        <v>6.27</v>
      </c>
      <c r="T158">
        <v>0</v>
      </c>
      <c r="U158">
        <v>0</v>
      </c>
      <c r="V158">
        <v>0</v>
      </c>
      <c r="W158">
        <v>0</v>
      </c>
      <c r="X158">
        <v>4.1900000000000004</v>
      </c>
      <c r="Y158">
        <v>0</v>
      </c>
      <c r="Z158">
        <v>0.2</v>
      </c>
      <c r="AA158">
        <v>0.18</v>
      </c>
      <c r="AB158">
        <v>0</v>
      </c>
      <c r="AC158">
        <v>1.2E-2</v>
      </c>
      <c r="AD158">
        <v>0</v>
      </c>
    </row>
    <row r="159" spans="1:30" x14ac:dyDescent="0.3">
      <c r="A159" t="s">
        <v>79</v>
      </c>
      <c r="B159" t="s">
        <v>139</v>
      </c>
      <c r="C159" t="s">
        <v>4</v>
      </c>
      <c r="D159">
        <v>25</v>
      </c>
      <c r="E159">
        <v>76</v>
      </c>
      <c r="F159">
        <v>2</v>
      </c>
      <c r="G159">
        <v>932</v>
      </c>
      <c r="H159">
        <v>1</v>
      </c>
      <c r="I159" t="s">
        <v>21</v>
      </c>
      <c r="J159">
        <v>704</v>
      </c>
      <c r="K159">
        <v>2</v>
      </c>
      <c r="L159">
        <v>2</v>
      </c>
      <c r="M159">
        <v>0.5</v>
      </c>
      <c r="N159">
        <v>1000000</v>
      </c>
      <c r="O159">
        <v>800</v>
      </c>
      <c r="P159">
        <v>0.56079011098986997</v>
      </c>
      <c r="Q159" s="11">
        <v>7.1068446995952741E-7</v>
      </c>
      <c r="R159" s="11">
        <v>25</v>
      </c>
      <c r="S159">
        <v>6.27</v>
      </c>
      <c r="T159">
        <v>0</v>
      </c>
      <c r="U159">
        <v>0</v>
      </c>
      <c r="V159">
        <v>0</v>
      </c>
      <c r="W159">
        <v>0</v>
      </c>
      <c r="X159">
        <v>4.1900000000000004</v>
      </c>
      <c r="Y159">
        <v>0</v>
      </c>
      <c r="Z159">
        <v>0.2</v>
      </c>
      <c r="AA159">
        <v>0.18</v>
      </c>
      <c r="AB159">
        <v>0</v>
      </c>
      <c r="AC159">
        <v>1.2E-2</v>
      </c>
      <c r="AD159">
        <v>0</v>
      </c>
    </row>
    <row r="160" spans="1:30" x14ac:dyDescent="0.3">
      <c r="A160" t="s">
        <v>80</v>
      </c>
      <c r="B160" t="s">
        <v>139</v>
      </c>
      <c r="C160" t="s">
        <v>4</v>
      </c>
      <c r="D160">
        <v>25</v>
      </c>
      <c r="E160">
        <v>76</v>
      </c>
      <c r="F160">
        <v>2</v>
      </c>
      <c r="G160">
        <v>925</v>
      </c>
      <c r="H160">
        <v>1</v>
      </c>
      <c r="I160" t="s">
        <v>21</v>
      </c>
      <c r="J160">
        <v>700</v>
      </c>
      <c r="K160">
        <v>2</v>
      </c>
      <c r="L160">
        <v>2</v>
      </c>
      <c r="M160">
        <v>0.8</v>
      </c>
      <c r="N160">
        <v>1000000</v>
      </c>
      <c r="O160">
        <v>920</v>
      </c>
      <c r="P160">
        <v>0.53784992938427523</v>
      </c>
      <c r="Q160" s="11">
        <v>7.1396981957258311E-7</v>
      </c>
      <c r="R160" s="11">
        <v>25</v>
      </c>
      <c r="S160">
        <v>6.27</v>
      </c>
      <c r="T160">
        <v>0</v>
      </c>
      <c r="U160">
        <v>0</v>
      </c>
      <c r="V160">
        <v>0</v>
      </c>
      <c r="W160">
        <v>0</v>
      </c>
      <c r="X160">
        <v>4.1900000000000004</v>
      </c>
      <c r="Y160">
        <v>0</v>
      </c>
      <c r="Z160">
        <v>0.2</v>
      </c>
      <c r="AA160">
        <v>0.18</v>
      </c>
      <c r="AB160">
        <v>0</v>
      </c>
      <c r="AC160">
        <v>1.2E-2</v>
      </c>
      <c r="AD160">
        <v>0</v>
      </c>
    </row>
    <row r="161" spans="1:30" x14ac:dyDescent="0.3">
      <c r="A161" t="s">
        <v>81</v>
      </c>
      <c r="B161" t="s">
        <v>139</v>
      </c>
      <c r="C161" t="s">
        <v>4</v>
      </c>
      <c r="D161">
        <v>25</v>
      </c>
      <c r="E161">
        <v>76</v>
      </c>
      <c r="F161">
        <v>2</v>
      </c>
      <c r="G161">
        <v>925</v>
      </c>
      <c r="H161">
        <v>1</v>
      </c>
      <c r="I161" t="s">
        <v>21</v>
      </c>
      <c r="J161">
        <v>700</v>
      </c>
      <c r="K161">
        <v>2</v>
      </c>
      <c r="L161">
        <v>2</v>
      </c>
      <c r="M161">
        <v>0.1</v>
      </c>
      <c r="N161">
        <v>1000000</v>
      </c>
      <c r="O161">
        <v>600</v>
      </c>
      <c r="P161">
        <v>0.56079011098986997</v>
      </c>
      <c r="Q161" s="11">
        <v>7.0396950569851215E-7</v>
      </c>
      <c r="R161" s="11">
        <v>25</v>
      </c>
      <c r="S161">
        <v>6.27</v>
      </c>
      <c r="T161">
        <v>0</v>
      </c>
      <c r="U161">
        <v>0</v>
      </c>
      <c r="V161">
        <v>0</v>
      </c>
      <c r="W161">
        <v>0</v>
      </c>
      <c r="X161">
        <v>4.1900000000000004</v>
      </c>
      <c r="Y161">
        <v>0</v>
      </c>
      <c r="Z161">
        <v>0.2</v>
      </c>
      <c r="AA161">
        <v>0.18</v>
      </c>
      <c r="AB161">
        <v>0</v>
      </c>
      <c r="AC161">
        <v>1.2E-2</v>
      </c>
      <c r="AD161">
        <v>4.1000000000000003E-3</v>
      </c>
    </row>
    <row r="162" spans="1:30" x14ac:dyDescent="0.3">
      <c r="A162" t="s">
        <v>82</v>
      </c>
      <c r="B162" t="s">
        <v>139</v>
      </c>
      <c r="C162" t="s">
        <v>4</v>
      </c>
      <c r="D162">
        <v>25</v>
      </c>
      <c r="E162">
        <v>76</v>
      </c>
      <c r="F162">
        <v>2</v>
      </c>
      <c r="G162">
        <v>925</v>
      </c>
      <c r="H162">
        <v>1</v>
      </c>
      <c r="I162" t="s">
        <v>21</v>
      </c>
      <c r="J162">
        <v>700</v>
      </c>
      <c r="K162">
        <v>2</v>
      </c>
      <c r="L162">
        <v>2</v>
      </c>
      <c r="M162">
        <v>0.5</v>
      </c>
      <c r="N162">
        <v>1000000</v>
      </c>
      <c r="O162">
        <v>780</v>
      </c>
      <c r="P162">
        <v>0.56079011098986997</v>
      </c>
      <c r="Q162" s="11">
        <v>7.1009094982614795E-7</v>
      </c>
      <c r="R162" s="11">
        <v>25</v>
      </c>
      <c r="S162">
        <v>6.27</v>
      </c>
      <c r="T162">
        <v>0</v>
      </c>
      <c r="U162">
        <v>0</v>
      </c>
      <c r="V162">
        <v>0</v>
      </c>
      <c r="W162">
        <v>0</v>
      </c>
      <c r="X162">
        <v>4.1900000000000004</v>
      </c>
      <c r="Y162">
        <v>0</v>
      </c>
      <c r="Z162">
        <v>0.2</v>
      </c>
      <c r="AA162">
        <v>0.18</v>
      </c>
      <c r="AB162">
        <v>0</v>
      </c>
      <c r="AC162">
        <v>1.2E-2</v>
      </c>
      <c r="AD162">
        <v>4.1000000000000003E-3</v>
      </c>
    </row>
    <row r="163" spans="1:30" x14ac:dyDescent="0.3">
      <c r="A163" t="s">
        <v>83</v>
      </c>
      <c r="B163" t="s">
        <v>139</v>
      </c>
      <c r="C163" t="s">
        <v>9</v>
      </c>
      <c r="D163">
        <v>25</v>
      </c>
      <c r="E163">
        <v>76</v>
      </c>
      <c r="F163">
        <v>2</v>
      </c>
      <c r="G163">
        <v>25</v>
      </c>
      <c r="H163">
        <v>2</v>
      </c>
      <c r="I163" t="s">
        <v>21</v>
      </c>
      <c r="J163">
        <v>700</v>
      </c>
      <c r="K163">
        <v>2</v>
      </c>
      <c r="L163">
        <v>2</v>
      </c>
      <c r="M163">
        <v>0.1</v>
      </c>
      <c r="N163">
        <v>1000000</v>
      </c>
      <c r="O163">
        <v>610</v>
      </c>
      <c r="P163">
        <v>0.56079011098986997</v>
      </c>
      <c r="Q163" s="11">
        <v>7.043536025543581E-7</v>
      </c>
      <c r="R163" s="11">
        <v>25</v>
      </c>
      <c r="S163">
        <v>6.27</v>
      </c>
      <c r="T163">
        <v>0</v>
      </c>
      <c r="U163">
        <v>0</v>
      </c>
      <c r="V163">
        <v>0</v>
      </c>
      <c r="W163">
        <v>0</v>
      </c>
      <c r="X163">
        <v>4.1900000000000004</v>
      </c>
      <c r="Y163">
        <v>0</v>
      </c>
      <c r="Z163">
        <v>0.2</v>
      </c>
      <c r="AA163">
        <v>0.18</v>
      </c>
      <c r="AB163">
        <v>0</v>
      </c>
      <c r="AC163">
        <v>1.2E-2</v>
      </c>
      <c r="AD163">
        <v>4.1000000000000003E-3</v>
      </c>
    </row>
    <row r="164" spans="1:30" x14ac:dyDescent="0.3">
      <c r="A164" t="s">
        <v>84</v>
      </c>
      <c r="B164" t="s">
        <v>139</v>
      </c>
      <c r="C164" t="s">
        <v>9</v>
      </c>
      <c r="D164">
        <v>25</v>
      </c>
      <c r="E164">
        <v>76</v>
      </c>
      <c r="F164">
        <v>2</v>
      </c>
      <c r="G164">
        <v>25</v>
      </c>
      <c r="H164">
        <v>2</v>
      </c>
      <c r="I164" t="s">
        <v>21</v>
      </c>
      <c r="J164">
        <v>700</v>
      </c>
      <c r="K164">
        <v>2</v>
      </c>
      <c r="L164">
        <v>2</v>
      </c>
      <c r="M164">
        <v>0.1</v>
      </c>
      <c r="N164">
        <v>1000000</v>
      </c>
      <c r="O164">
        <v>547</v>
      </c>
      <c r="P164">
        <v>0.53784992938427523</v>
      </c>
      <c r="Q164" s="11">
        <v>7.0182435860899017E-7</v>
      </c>
      <c r="R164" s="11">
        <v>25</v>
      </c>
      <c r="S164">
        <v>6.3</v>
      </c>
      <c r="T164">
        <v>0</v>
      </c>
      <c r="U164">
        <v>0</v>
      </c>
      <c r="V164">
        <v>0</v>
      </c>
      <c r="W164">
        <v>0</v>
      </c>
      <c r="X164">
        <v>4.2</v>
      </c>
      <c r="Y164">
        <v>0</v>
      </c>
      <c r="Z164">
        <v>0.19</v>
      </c>
      <c r="AA164">
        <v>0.19</v>
      </c>
      <c r="AB164">
        <v>0</v>
      </c>
      <c r="AC164">
        <v>1.2999999999999999E-2</v>
      </c>
      <c r="AD164">
        <v>4.1000000000000003E-3</v>
      </c>
    </row>
    <row r="165" spans="1:30" x14ac:dyDescent="0.3">
      <c r="A165" t="s">
        <v>85</v>
      </c>
      <c r="B165" t="s">
        <v>139</v>
      </c>
      <c r="C165" t="s">
        <v>9</v>
      </c>
      <c r="D165">
        <v>25</v>
      </c>
      <c r="E165">
        <v>76</v>
      </c>
      <c r="F165">
        <v>2</v>
      </c>
      <c r="G165">
        <v>25</v>
      </c>
      <c r="H165">
        <v>2</v>
      </c>
      <c r="I165" t="s">
        <v>21</v>
      </c>
      <c r="J165">
        <v>700</v>
      </c>
      <c r="K165">
        <v>2</v>
      </c>
      <c r="L165">
        <v>2</v>
      </c>
      <c r="M165">
        <v>0.5</v>
      </c>
      <c r="N165">
        <v>1000000</v>
      </c>
      <c r="O165">
        <v>699</v>
      </c>
      <c r="P165">
        <v>0.53784992938427523</v>
      </c>
      <c r="Q165" s="11">
        <v>7.0752632359667223E-7</v>
      </c>
      <c r="R165" s="11">
        <v>25</v>
      </c>
      <c r="S165">
        <v>6.3</v>
      </c>
      <c r="T165">
        <v>0</v>
      </c>
      <c r="U165">
        <v>0</v>
      </c>
      <c r="V165">
        <v>0</v>
      </c>
      <c r="W165">
        <v>0</v>
      </c>
      <c r="X165">
        <v>4.2</v>
      </c>
      <c r="Y165">
        <v>0</v>
      </c>
      <c r="Z165">
        <v>0.19</v>
      </c>
      <c r="AA165">
        <v>0.19</v>
      </c>
      <c r="AB165">
        <v>0</v>
      </c>
      <c r="AC165">
        <v>1.2999999999999999E-2</v>
      </c>
      <c r="AD165">
        <v>4.1000000000000003E-3</v>
      </c>
    </row>
    <row r="166" spans="1:30" x14ac:dyDescent="0.3">
      <c r="A166" t="s">
        <v>86</v>
      </c>
      <c r="B166" t="s">
        <v>139</v>
      </c>
      <c r="C166" t="s">
        <v>9</v>
      </c>
      <c r="D166">
        <v>25</v>
      </c>
      <c r="E166">
        <v>76</v>
      </c>
      <c r="F166">
        <v>2</v>
      </c>
      <c r="G166">
        <v>25</v>
      </c>
      <c r="H166">
        <v>2</v>
      </c>
      <c r="I166" t="s">
        <v>21</v>
      </c>
      <c r="J166">
        <v>500</v>
      </c>
      <c r="K166">
        <v>24</v>
      </c>
      <c r="L166">
        <v>2</v>
      </c>
      <c r="M166">
        <v>0</v>
      </c>
      <c r="N166">
        <v>1000000</v>
      </c>
      <c r="O166">
        <v>700</v>
      </c>
      <c r="P166">
        <v>0.56079011098986997</v>
      </c>
      <c r="Q166" s="11">
        <v>7.0755970304400871E-7</v>
      </c>
      <c r="R166" s="11">
        <v>25</v>
      </c>
      <c r="S166">
        <v>6.27</v>
      </c>
      <c r="T166">
        <v>0</v>
      </c>
      <c r="U166">
        <v>0</v>
      </c>
      <c r="V166">
        <v>0</v>
      </c>
      <c r="W166">
        <v>0</v>
      </c>
      <c r="X166">
        <v>4.1900000000000004</v>
      </c>
      <c r="Y166">
        <v>0</v>
      </c>
      <c r="Z166">
        <v>0.2</v>
      </c>
      <c r="AA166">
        <v>0.18</v>
      </c>
      <c r="AB166">
        <v>0</v>
      </c>
      <c r="AC166">
        <v>1.2E-2</v>
      </c>
      <c r="AD166">
        <v>4.1000000000000003E-3</v>
      </c>
    </row>
    <row r="167" spans="1:30" x14ac:dyDescent="0.3">
      <c r="A167" t="s">
        <v>87</v>
      </c>
      <c r="B167" t="s">
        <v>139</v>
      </c>
      <c r="C167" t="s">
        <v>9</v>
      </c>
      <c r="D167">
        <v>25</v>
      </c>
      <c r="E167">
        <v>76</v>
      </c>
      <c r="F167">
        <v>2</v>
      </c>
      <c r="G167">
        <v>25</v>
      </c>
      <c r="H167">
        <v>2</v>
      </c>
      <c r="I167" t="s">
        <v>21</v>
      </c>
      <c r="J167">
        <v>500</v>
      </c>
      <c r="K167">
        <v>24</v>
      </c>
      <c r="L167">
        <v>2</v>
      </c>
      <c r="M167">
        <v>0</v>
      </c>
      <c r="N167">
        <v>1000000</v>
      </c>
      <c r="O167">
        <v>730</v>
      </c>
      <c r="P167">
        <v>0.56079011098986997</v>
      </c>
      <c r="Q167" s="11">
        <v>7.085402236252149E-7</v>
      </c>
      <c r="R167" s="11">
        <v>25</v>
      </c>
      <c r="S167">
        <v>6.27</v>
      </c>
      <c r="T167">
        <v>0</v>
      </c>
      <c r="U167">
        <v>0</v>
      </c>
      <c r="V167">
        <v>0</v>
      </c>
      <c r="W167">
        <v>0</v>
      </c>
      <c r="X167">
        <v>4.1900000000000004</v>
      </c>
      <c r="Y167">
        <v>0</v>
      </c>
      <c r="Z167">
        <v>0.2</v>
      </c>
      <c r="AA167">
        <v>0.18</v>
      </c>
      <c r="AB167">
        <v>0</v>
      </c>
      <c r="AC167">
        <v>1.2E-2</v>
      </c>
      <c r="AD167">
        <v>4.1000000000000003E-3</v>
      </c>
    </row>
    <row r="168" spans="1:30" x14ac:dyDescent="0.3">
      <c r="A168" t="s">
        <v>88</v>
      </c>
      <c r="B168" t="s">
        <v>139</v>
      </c>
      <c r="C168" t="s">
        <v>9</v>
      </c>
      <c r="D168">
        <v>25</v>
      </c>
      <c r="E168">
        <v>76</v>
      </c>
      <c r="F168">
        <v>2</v>
      </c>
      <c r="G168">
        <v>25</v>
      </c>
      <c r="H168">
        <v>2</v>
      </c>
      <c r="I168" t="s">
        <v>21</v>
      </c>
      <c r="J168">
        <v>500</v>
      </c>
      <c r="K168">
        <v>24</v>
      </c>
      <c r="L168">
        <v>2</v>
      </c>
      <c r="M168">
        <v>0</v>
      </c>
      <c r="N168">
        <v>1000000</v>
      </c>
      <c r="O168">
        <v>875</v>
      </c>
      <c r="P168">
        <v>0.53784992938427523</v>
      </c>
      <c r="Q168" s="11">
        <v>7.1278921750021132E-7</v>
      </c>
      <c r="R168" s="11">
        <v>25</v>
      </c>
      <c r="S168">
        <v>6.27</v>
      </c>
      <c r="T168">
        <v>0</v>
      </c>
      <c r="U168">
        <v>0</v>
      </c>
      <c r="V168">
        <v>0</v>
      </c>
      <c r="W168">
        <v>0</v>
      </c>
      <c r="X168">
        <v>4.1900000000000004</v>
      </c>
      <c r="Y168">
        <v>0</v>
      </c>
      <c r="Z168">
        <v>0.2</v>
      </c>
      <c r="AA168">
        <v>0.18</v>
      </c>
      <c r="AB168">
        <v>0</v>
      </c>
      <c r="AC168">
        <v>1.2E-2</v>
      </c>
      <c r="AD168">
        <v>4.1000000000000003E-3</v>
      </c>
    </row>
    <row r="169" spans="1:30" x14ac:dyDescent="0.3">
      <c r="A169" t="s">
        <v>89</v>
      </c>
      <c r="B169" t="s">
        <v>139</v>
      </c>
      <c r="C169" t="s">
        <v>4</v>
      </c>
      <c r="D169">
        <v>25</v>
      </c>
      <c r="E169">
        <v>76</v>
      </c>
      <c r="F169">
        <v>2</v>
      </c>
      <c r="G169">
        <v>1050</v>
      </c>
      <c r="H169">
        <v>0.25</v>
      </c>
      <c r="I169" t="s">
        <v>21</v>
      </c>
      <c r="J169">
        <v>500</v>
      </c>
      <c r="K169">
        <v>24</v>
      </c>
      <c r="L169">
        <v>2</v>
      </c>
      <c r="M169">
        <v>0</v>
      </c>
      <c r="N169">
        <v>1000000</v>
      </c>
      <c r="O169">
        <v>690</v>
      </c>
      <c r="P169">
        <v>0.53784992938427523</v>
      </c>
      <c r="Q169" s="11">
        <v>7.0722381339892029E-7</v>
      </c>
      <c r="R169" s="11">
        <v>25</v>
      </c>
      <c r="S169">
        <v>6.27</v>
      </c>
      <c r="T169">
        <v>0</v>
      </c>
      <c r="U169">
        <v>0</v>
      </c>
      <c r="V169">
        <v>0</v>
      </c>
      <c r="W169">
        <v>0</v>
      </c>
      <c r="X169">
        <v>4.1900000000000004</v>
      </c>
      <c r="Y169">
        <v>0</v>
      </c>
      <c r="Z169">
        <v>0.2</v>
      </c>
      <c r="AA169">
        <v>0.18</v>
      </c>
      <c r="AB169">
        <v>0</v>
      </c>
      <c r="AC169">
        <v>1.2E-2</v>
      </c>
      <c r="AD169">
        <v>4.1000000000000003E-3</v>
      </c>
    </row>
    <row r="170" spans="1:30" x14ac:dyDescent="0.3">
      <c r="A170" t="s">
        <v>90</v>
      </c>
      <c r="B170" t="s">
        <v>139</v>
      </c>
      <c r="C170" t="s">
        <v>9</v>
      </c>
      <c r="D170">
        <v>25</v>
      </c>
      <c r="E170">
        <v>76</v>
      </c>
      <c r="F170">
        <v>2</v>
      </c>
      <c r="G170">
        <v>25</v>
      </c>
      <c r="H170">
        <v>2</v>
      </c>
      <c r="I170" t="s">
        <v>21</v>
      </c>
      <c r="J170">
        <v>1300</v>
      </c>
      <c r="K170">
        <v>4</v>
      </c>
      <c r="L170">
        <v>2</v>
      </c>
      <c r="M170">
        <v>-1</v>
      </c>
      <c r="N170">
        <v>1000000</v>
      </c>
      <c r="O170">
        <v>630</v>
      </c>
      <c r="P170">
        <v>0.56079011098986997</v>
      </c>
      <c r="Q170" s="11">
        <v>7.0510386264943844E-7</v>
      </c>
      <c r="R170" s="11">
        <v>25</v>
      </c>
      <c r="S170">
        <v>6.4</v>
      </c>
      <c r="T170">
        <v>0</v>
      </c>
      <c r="U170">
        <v>0</v>
      </c>
      <c r="V170">
        <v>0</v>
      </c>
      <c r="W170">
        <v>0</v>
      </c>
      <c r="X170">
        <v>4</v>
      </c>
      <c r="Y170">
        <v>0</v>
      </c>
      <c r="Z170">
        <v>0</v>
      </c>
      <c r="AA170">
        <v>0.19</v>
      </c>
      <c r="AB170">
        <v>0</v>
      </c>
      <c r="AC170">
        <v>0</v>
      </c>
      <c r="AD170">
        <v>0</v>
      </c>
    </row>
    <row r="171" spans="1:30" x14ac:dyDescent="0.3">
      <c r="A171" t="s">
        <v>91</v>
      </c>
      <c r="B171" t="s">
        <v>139</v>
      </c>
      <c r="C171" t="s">
        <v>9</v>
      </c>
      <c r="D171">
        <v>25</v>
      </c>
      <c r="E171">
        <v>76</v>
      </c>
      <c r="F171">
        <v>2</v>
      </c>
      <c r="G171">
        <v>25</v>
      </c>
      <c r="H171">
        <v>2</v>
      </c>
      <c r="I171" t="s">
        <v>21</v>
      </c>
      <c r="J171">
        <v>1300</v>
      </c>
      <c r="K171">
        <v>4</v>
      </c>
      <c r="L171">
        <v>2</v>
      </c>
      <c r="M171">
        <v>0</v>
      </c>
      <c r="N171">
        <v>1000000</v>
      </c>
      <c r="O171">
        <v>282.17</v>
      </c>
      <c r="P171">
        <v>0.52213337521648806</v>
      </c>
      <c r="Q171" s="11">
        <v>6.8665994332456745E-7</v>
      </c>
      <c r="R171" s="11">
        <v>25</v>
      </c>
      <c r="S171">
        <v>8.67</v>
      </c>
      <c r="T171">
        <v>0</v>
      </c>
      <c r="U171">
        <v>0</v>
      </c>
      <c r="V171">
        <v>18.7</v>
      </c>
      <c r="W171">
        <v>0</v>
      </c>
      <c r="X171">
        <v>0</v>
      </c>
      <c r="Y171">
        <v>0</v>
      </c>
      <c r="Z171">
        <v>0</v>
      </c>
      <c r="AA171">
        <v>2E-3</v>
      </c>
      <c r="AB171">
        <v>1.6E-2</v>
      </c>
      <c r="AC171">
        <v>0.53</v>
      </c>
      <c r="AD171">
        <v>2.3E-2</v>
      </c>
    </row>
    <row r="172" spans="1:30" x14ac:dyDescent="0.3">
      <c r="A172" t="s">
        <v>92</v>
      </c>
      <c r="B172" t="s">
        <v>139</v>
      </c>
      <c r="C172" t="s">
        <v>9</v>
      </c>
      <c r="D172">
        <v>25</v>
      </c>
      <c r="E172">
        <v>76</v>
      </c>
      <c r="F172">
        <v>2</v>
      </c>
      <c r="G172">
        <v>25</v>
      </c>
      <c r="H172">
        <v>2</v>
      </c>
      <c r="I172" t="s">
        <v>21</v>
      </c>
      <c r="J172">
        <v>1300</v>
      </c>
      <c r="K172">
        <v>4</v>
      </c>
      <c r="L172">
        <v>2</v>
      </c>
      <c r="M172">
        <v>0</v>
      </c>
      <c r="N172">
        <v>1000000</v>
      </c>
      <c r="O172">
        <v>218.83</v>
      </c>
      <c r="P172">
        <v>0.54440322001040764</v>
      </c>
      <c r="Q172" s="11">
        <v>6.8092359293847772E-7</v>
      </c>
      <c r="R172" s="11">
        <v>25</v>
      </c>
      <c r="S172">
        <v>8.67</v>
      </c>
      <c r="T172">
        <v>0</v>
      </c>
      <c r="U172">
        <v>0</v>
      </c>
      <c r="V172">
        <v>18.7</v>
      </c>
      <c r="W172">
        <v>0</v>
      </c>
      <c r="X172">
        <v>0</v>
      </c>
      <c r="Y172">
        <v>0</v>
      </c>
      <c r="Z172">
        <v>0</v>
      </c>
      <c r="AA172">
        <v>2E-3</v>
      </c>
      <c r="AB172">
        <v>1.6E-2</v>
      </c>
      <c r="AC172">
        <v>0.53</v>
      </c>
      <c r="AD172">
        <v>2.3E-2</v>
      </c>
    </row>
    <row r="173" spans="1:30" x14ac:dyDescent="0.3">
      <c r="A173" t="s">
        <v>93</v>
      </c>
      <c r="B173" t="s">
        <v>139</v>
      </c>
      <c r="C173" t="s">
        <v>9</v>
      </c>
      <c r="D173">
        <v>25</v>
      </c>
      <c r="E173">
        <v>76</v>
      </c>
      <c r="F173">
        <v>2</v>
      </c>
      <c r="G173">
        <v>25</v>
      </c>
      <c r="H173">
        <v>2</v>
      </c>
      <c r="I173" t="s">
        <v>21</v>
      </c>
      <c r="J173">
        <v>1300</v>
      </c>
      <c r="K173">
        <v>4</v>
      </c>
      <c r="L173">
        <v>2</v>
      </c>
      <c r="M173">
        <v>0</v>
      </c>
      <c r="N173">
        <v>1000000</v>
      </c>
      <c r="O173">
        <v>312.44</v>
      </c>
      <c r="P173">
        <v>0.52213337521648806</v>
      </c>
      <c r="Q173" s="11">
        <v>6.8897292330706588E-7</v>
      </c>
      <c r="R173" s="11">
        <v>25</v>
      </c>
      <c r="S173">
        <v>8.67</v>
      </c>
      <c r="T173">
        <v>0</v>
      </c>
      <c r="U173">
        <v>0</v>
      </c>
      <c r="V173">
        <v>18.7</v>
      </c>
      <c r="W173">
        <v>0</v>
      </c>
      <c r="X173">
        <v>0</v>
      </c>
      <c r="Y173">
        <v>0</v>
      </c>
      <c r="Z173">
        <v>0</v>
      </c>
      <c r="AA173">
        <v>2E-3</v>
      </c>
      <c r="AB173">
        <v>1.6E-2</v>
      </c>
      <c r="AC173">
        <v>0.53</v>
      </c>
      <c r="AD173">
        <v>2.3E-2</v>
      </c>
    </row>
    <row r="174" spans="1:30" x14ac:dyDescent="0.3">
      <c r="A174" t="s">
        <v>94</v>
      </c>
      <c r="B174" t="s">
        <v>139</v>
      </c>
      <c r="C174" t="s">
        <v>4</v>
      </c>
      <c r="D174">
        <v>25</v>
      </c>
      <c r="E174">
        <v>76</v>
      </c>
      <c r="F174">
        <v>2</v>
      </c>
      <c r="G174">
        <v>970</v>
      </c>
      <c r="H174">
        <v>0.5</v>
      </c>
      <c r="I174" t="s">
        <v>21</v>
      </c>
      <c r="J174">
        <v>700</v>
      </c>
      <c r="K174">
        <v>0.5</v>
      </c>
      <c r="L174">
        <v>2</v>
      </c>
      <c r="M174">
        <v>0</v>
      </c>
      <c r="N174">
        <v>1000000</v>
      </c>
      <c r="O174">
        <v>295.63</v>
      </c>
      <c r="P174">
        <v>0.54914904693240685</v>
      </c>
      <c r="Q174" s="11">
        <v>6.8771667740361896E-7</v>
      </c>
      <c r="R174" s="11">
        <v>25</v>
      </c>
      <c r="S174">
        <v>8.67</v>
      </c>
      <c r="T174">
        <v>0</v>
      </c>
      <c r="U174">
        <v>0</v>
      </c>
      <c r="V174">
        <v>18.7</v>
      </c>
      <c r="W174">
        <v>0</v>
      </c>
      <c r="X174">
        <v>0</v>
      </c>
      <c r="Y174">
        <v>0</v>
      </c>
      <c r="Z174">
        <v>0</v>
      </c>
      <c r="AA174">
        <v>2E-3</v>
      </c>
      <c r="AB174">
        <v>1.6E-2</v>
      </c>
      <c r="AC174">
        <v>0.53</v>
      </c>
      <c r="AD174">
        <v>2.3E-2</v>
      </c>
    </row>
    <row r="175" spans="1:30" x14ac:dyDescent="0.3">
      <c r="A175" t="s">
        <v>95</v>
      </c>
      <c r="B175" t="s">
        <v>139</v>
      </c>
      <c r="C175" t="s">
        <v>4</v>
      </c>
      <c r="D175">
        <v>25</v>
      </c>
      <c r="E175">
        <v>76</v>
      </c>
      <c r="F175">
        <v>2</v>
      </c>
      <c r="G175">
        <v>970</v>
      </c>
      <c r="H175">
        <v>0.5</v>
      </c>
      <c r="I175" t="s">
        <v>21</v>
      </c>
      <c r="J175">
        <v>700</v>
      </c>
      <c r="K175">
        <v>0.5</v>
      </c>
      <c r="L175">
        <v>2</v>
      </c>
      <c r="M175">
        <v>-1</v>
      </c>
      <c r="N175">
        <v>1001439</v>
      </c>
      <c r="O175">
        <v>340.73</v>
      </c>
      <c r="P175">
        <v>0.56567879038870927</v>
      </c>
      <c r="Q175" s="11">
        <v>6.9094646299965781E-7</v>
      </c>
      <c r="R175" s="11">
        <v>25</v>
      </c>
      <c r="S175">
        <v>6.22</v>
      </c>
      <c r="T175">
        <v>0</v>
      </c>
      <c r="U175">
        <v>0</v>
      </c>
      <c r="V175">
        <v>0</v>
      </c>
      <c r="W175">
        <v>0</v>
      </c>
      <c r="X175">
        <v>4.01</v>
      </c>
      <c r="Y175">
        <v>0</v>
      </c>
      <c r="Z175">
        <v>0.2</v>
      </c>
      <c r="AA175">
        <v>0.2</v>
      </c>
      <c r="AB175">
        <v>0.02</v>
      </c>
      <c r="AC175">
        <v>0.01</v>
      </c>
      <c r="AD175">
        <v>1E-3</v>
      </c>
    </row>
    <row r="176" spans="1:30" x14ac:dyDescent="0.3">
      <c r="A176" t="s">
        <v>96</v>
      </c>
      <c r="B176" t="s">
        <v>139</v>
      </c>
      <c r="C176" t="s">
        <v>9</v>
      </c>
      <c r="D176">
        <v>25</v>
      </c>
      <c r="E176">
        <v>76</v>
      </c>
      <c r="F176">
        <v>2</v>
      </c>
      <c r="G176">
        <v>25</v>
      </c>
      <c r="H176">
        <v>1</v>
      </c>
      <c r="I176" t="s">
        <v>21</v>
      </c>
      <c r="J176">
        <v>600</v>
      </c>
      <c r="K176">
        <v>8</v>
      </c>
      <c r="L176">
        <v>2</v>
      </c>
      <c r="M176">
        <v>-1</v>
      </c>
      <c r="N176">
        <v>1834944</v>
      </c>
      <c r="O176">
        <v>901.85</v>
      </c>
      <c r="P176">
        <v>0.53784992938427523</v>
      </c>
      <c r="Q176" s="11">
        <v>7.1350051001892925E-7</v>
      </c>
      <c r="R176" s="11">
        <v>25</v>
      </c>
      <c r="S176">
        <v>6.22</v>
      </c>
      <c r="T176">
        <v>0</v>
      </c>
      <c r="U176">
        <v>0</v>
      </c>
      <c r="V176">
        <v>0</v>
      </c>
      <c r="W176">
        <v>0</v>
      </c>
      <c r="X176">
        <v>4.01</v>
      </c>
      <c r="Y176">
        <v>0</v>
      </c>
      <c r="Z176">
        <v>0.2</v>
      </c>
      <c r="AA176">
        <v>0.2</v>
      </c>
      <c r="AB176">
        <v>0.02</v>
      </c>
      <c r="AC176">
        <v>0.01</v>
      </c>
      <c r="AD176">
        <v>1E-3</v>
      </c>
    </row>
    <row r="177" spans="1:30" x14ac:dyDescent="0.3">
      <c r="A177" t="s">
        <v>97</v>
      </c>
      <c r="B177" t="s">
        <v>139</v>
      </c>
      <c r="C177" t="s">
        <v>4</v>
      </c>
      <c r="D177">
        <v>25</v>
      </c>
      <c r="E177">
        <v>76</v>
      </c>
      <c r="F177">
        <v>2</v>
      </c>
      <c r="G177">
        <v>970</v>
      </c>
      <c r="H177">
        <v>0.5</v>
      </c>
      <c r="I177" t="s">
        <v>21</v>
      </c>
      <c r="J177">
        <v>700</v>
      </c>
      <c r="K177">
        <v>0.5</v>
      </c>
      <c r="L177">
        <v>2</v>
      </c>
      <c r="M177">
        <v>0.1</v>
      </c>
      <c r="N177">
        <v>2600000</v>
      </c>
      <c r="O177">
        <v>703</v>
      </c>
      <c r="P177">
        <v>1.0087984758717261</v>
      </c>
      <c r="Q177" s="11">
        <v>7.0765956542524853E-7</v>
      </c>
      <c r="R177" s="11">
        <v>25</v>
      </c>
      <c r="S177">
        <v>6.2</v>
      </c>
      <c r="T177">
        <v>1.95</v>
      </c>
      <c r="U177">
        <v>3.8</v>
      </c>
      <c r="V177">
        <v>0</v>
      </c>
      <c r="W177">
        <v>2</v>
      </c>
      <c r="X177">
        <v>0</v>
      </c>
      <c r="Y177">
        <v>0</v>
      </c>
      <c r="Z177">
        <v>0</v>
      </c>
      <c r="AA177">
        <v>0.03</v>
      </c>
      <c r="AB177">
        <v>2.1000000000000001E-2</v>
      </c>
      <c r="AC177">
        <v>4.0000000000000001E-3</v>
      </c>
      <c r="AD177">
        <v>8.0000000000000002E-3</v>
      </c>
    </row>
    <row r="178" spans="1:30" x14ac:dyDescent="0.3">
      <c r="A178" t="s">
        <v>98</v>
      </c>
      <c r="B178" t="s">
        <v>139</v>
      </c>
      <c r="C178" t="s">
        <v>4</v>
      </c>
      <c r="D178">
        <v>25</v>
      </c>
      <c r="E178">
        <v>76</v>
      </c>
      <c r="F178">
        <v>2</v>
      </c>
      <c r="G178">
        <v>970</v>
      </c>
      <c r="H178">
        <v>0.5</v>
      </c>
      <c r="I178" t="s">
        <v>21</v>
      </c>
      <c r="J178">
        <v>700</v>
      </c>
      <c r="K178">
        <v>0.5</v>
      </c>
      <c r="L178">
        <v>2</v>
      </c>
      <c r="M178">
        <v>-1</v>
      </c>
      <c r="N178">
        <v>2683559</v>
      </c>
      <c r="O178">
        <v>853.92</v>
      </c>
      <c r="P178">
        <v>0.58980591855772457</v>
      </c>
      <c r="Q178" s="11">
        <v>7.1221583088649703E-7</v>
      </c>
      <c r="R178" s="11">
        <v>25</v>
      </c>
      <c r="S178">
        <v>6.22</v>
      </c>
      <c r="T178">
        <v>0</v>
      </c>
      <c r="U178">
        <v>0</v>
      </c>
      <c r="V178">
        <v>0</v>
      </c>
      <c r="W178">
        <v>0</v>
      </c>
      <c r="X178">
        <v>4.01</v>
      </c>
      <c r="Y178">
        <v>0</v>
      </c>
      <c r="Z178">
        <v>0.2</v>
      </c>
      <c r="AA178">
        <v>0.2</v>
      </c>
      <c r="AB178">
        <v>0.02</v>
      </c>
      <c r="AC178">
        <v>0.01</v>
      </c>
      <c r="AD178">
        <v>1E-3</v>
      </c>
    </row>
    <row r="179" spans="1:30" x14ac:dyDescent="0.3">
      <c r="A179" t="s">
        <v>99</v>
      </c>
      <c r="B179" t="s">
        <v>139</v>
      </c>
      <c r="C179" t="s">
        <v>4</v>
      </c>
      <c r="D179">
        <v>25</v>
      </c>
      <c r="E179">
        <v>76</v>
      </c>
      <c r="F179">
        <v>2</v>
      </c>
      <c r="G179">
        <v>970</v>
      </c>
      <c r="H179">
        <v>0.5</v>
      </c>
      <c r="I179" t="s">
        <v>21</v>
      </c>
      <c r="J179">
        <v>700</v>
      </c>
      <c r="K179">
        <v>0.5</v>
      </c>
      <c r="L179">
        <v>2</v>
      </c>
      <c r="M179">
        <v>-1</v>
      </c>
      <c r="N179">
        <v>3589513</v>
      </c>
      <c r="O179">
        <v>672.47</v>
      </c>
      <c r="P179">
        <v>0.58980591855772457</v>
      </c>
      <c r="Q179" s="11">
        <v>7.0662347606594085E-7</v>
      </c>
      <c r="R179" s="11">
        <v>25</v>
      </c>
      <c r="S179">
        <v>6.22</v>
      </c>
      <c r="T179">
        <v>0</v>
      </c>
      <c r="U179">
        <v>0</v>
      </c>
      <c r="V179">
        <v>0</v>
      </c>
      <c r="W179">
        <v>0</v>
      </c>
      <c r="X179">
        <v>4.01</v>
      </c>
      <c r="Y179">
        <v>0</v>
      </c>
      <c r="Z179">
        <v>0.2</v>
      </c>
      <c r="AA179">
        <v>0.2</v>
      </c>
      <c r="AB179">
        <v>0.02</v>
      </c>
      <c r="AC179">
        <v>0.01</v>
      </c>
      <c r="AD179">
        <v>1E-3</v>
      </c>
    </row>
    <row r="180" spans="1:30" x14ac:dyDescent="0.3">
      <c r="A180" t="s">
        <v>100</v>
      </c>
      <c r="B180" t="s">
        <v>139</v>
      </c>
      <c r="C180" t="s">
        <v>9</v>
      </c>
      <c r="D180">
        <v>25</v>
      </c>
      <c r="E180">
        <v>76</v>
      </c>
      <c r="F180">
        <v>2</v>
      </c>
      <c r="G180">
        <v>25</v>
      </c>
      <c r="H180">
        <v>1</v>
      </c>
      <c r="I180" t="s">
        <v>21</v>
      </c>
      <c r="J180">
        <v>25</v>
      </c>
      <c r="K180">
        <v>2</v>
      </c>
      <c r="L180">
        <v>2</v>
      </c>
      <c r="M180">
        <v>-1</v>
      </c>
      <c r="N180">
        <v>4185837</v>
      </c>
      <c r="O180">
        <v>556.06299999999999</v>
      </c>
      <c r="P180">
        <v>0.56079011098986997</v>
      </c>
      <c r="Q180" s="11">
        <v>7.0220504869664947E-7</v>
      </c>
      <c r="R180" s="11">
        <v>25</v>
      </c>
      <c r="S180">
        <v>6.22</v>
      </c>
      <c r="T180">
        <v>0</v>
      </c>
      <c r="U180">
        <v>0</v>
      </c>
      <c r="V180">
        <v>0</v>
      </c>
      <c r="W180">
        <v>0</v>
      </c>
      <c r="X180">
        <v>4.01</v>
      </c>
      <c r="Y180">
        <v>0</v>
      </c>
      <c r="Z180">
        <v>0.2</v>
      </c>
      <c r="AA180">
        <v>0.2</v>
      </c>
      <c r="AB180">
        <v>0.02</v>
      </c>
      <c r="AC180">
        <v>0.01</v>
      </c>
      <c r="AD180">
        <v>1E-3</v>
      </c>
    </row>
    <row r="181" spans="1:30" x14ac:dyDescent="0.3">
      <c r="A181" t="s">
        <v>101</v>
      </c>
      <c r="B181" t="s">
        <v>139</v>
      </c>
      <c r="C181" t="s">
        <v>4</v>
      </c>
      <c r="D181">
        <v>25</v>
      </c>
      <c r="E181">
        <v>76</v>
      </c>
      <c r="F181">
        <v>2</v>
      </c>
      <c r="G181">
        <v>970</v>
      </c>
      <c r="H181">
        <v>0.5</v>
      </c>
      <c r="I181" t="s">
        <v>21</v>
      </c>
      <c r="J181">
        <v>700</v>
      </c>
      <c r="K181">
        <v>0.5</v>
      </c>
      <c r="L181">
        <v>2</v>
      </c>
      <c r="M181">
        <v>-1</v>
      </c>
      <c r="N181">
        <v>4740000</v>
      </c>
      <c r="O181">
        <v>540</v>
      </c>
      <c r="P181">
        <v>0.58980591855772457</v>
      </c>
      <c r="Q181" s="11">
        <v>7.0152612637489846E-7</v>
      </c>
      <c r="R181" s="11">
        <v>25</v>
      </c>
      <c r="S181">
        <v>6.29</v>
      </c>
      <c r="T181">
        <v>0</v>
      </c>
      <c r="U181">
        <v>0</v>
      </c>
      <c r="V181">
        <v>0</v>
      </c>
      <c r="W181">
        <v>0</v>
      </c>
      <c r="X181">
        <v>4.1100000000000003</v>
      </c>
      <c r="Y181">
        <v>0</v>
      </c>
      <c r="Z181">
        <v>0.05</v>
      </c>
      <c r="AA181">
        <v>0.13</v>
      </c>
      <c r="AB181">
        <v>0.08</v>
      </c>
      <c r="AC181">
        <v>0.03</v>
      </c>
      <c r="AD181">
        <v>0</v>
      </c>
    </row>
    <row r="182" spans="1:30" x14ac:dyDescent="0.3">
      <c r="A182" t="s">
        <v>102</v>
      </c>
      <c r="B182" t="s">
        <v>139</v>
      </c>
      <c r="C182" t="s">
        <v>4</v>
      </c>
      <c r="D182">
        <v>25</v>
      </c>
      <c r="E182">
        <v>76</v>
      </c>
      <c r="F182">
        <v>2</v>
      </c>
      <c r="G182">
        <v>970</v>
      </c>
      <c r="H182">
        <v>0.5</v>
      </c>
      <c r="I182" t="s">
        <v>21</v>
      </c>
      <c r="J182">
        <v>700</v>
      </c>
      <c r="K182">
        <v>0.5</v>
      </c>
      <c r="L182">
        <v>2</v>
      </c>
      <c r="M182">
        <v>-1</v>
      </c>
      <c r="N182">
        <v>4805097</v>
      </c>
      <c r="O182">
        <v>464.76</v>
      </c>
      <c r="P182">
        <v>0.58980591855772457</v>
      </c>
      <c r="Q182" s="11">
        <v>6.9806104681474371E-7</v>
      </c>
      <c r="R182" s="11">
        <v>25</v>
      </c>
      <c r="S182">
        <v>6.22</v>
      </c>
      <c r="T182">
        <v>0</v>
      </c>
      <c r="U182">
        <v>0</v>
      </c>
      <c r="V182">
        <v>0</v>
      </c>
      <c r="W182">
        <v>0</v>
      </c>
      <c r="X182">
        <v>4.01</v>
      </c>
      <c r="Y182">
        <v>0</v>
      </c>
      <c r="Z182">
        <v>0.2</v>
      </c>
      <c r="AA182">
        <v>0.2</v>
      </c>
      <c r="AB182">
        <v>0.02</v>
      </c>
      <c r="AC182">
        <v>0.01</v>
      </c>
      <c r="AD182">
        <v>1E-3</v>
      </c>
    </row>
    <row r="183" spans="1:30" x14ac:dyDescent="0.3">
      <c r="A183" t="s">
        <v>103</v>
      </c>
      <c r="B183" t="s">
        <v>139</v>
      </c>
      <c r="C183" t="s">
        <v>9</v>
      </c>
      <c r="D183">
        <v>25</v>
      </c>
      <c r="E183">
        <v>76</v>
      </c>
      <c r="F183">
        <v>2</v>
      </c>
      <c r="G183">
        <v>25</v>
      </c>
      <c r="H183">
        <v>2</v>
      </c>
      <c r="I183" t="s">
        <v>21</v>
      </c>
      <c r="J183">
        <v>600</v>
      </c>
      <c r="K183">
        <v>8</v>
      </c>
      <c r="L183">
        <v>2</v>
      </c>
      <c r="M183">
        <v>-1</v>
      </c>
      <c r="N183">
        <v>5344083</v>
      </c>
      <c r="O183">
        <v>404.28</v>
      </c>
      <c r="P183">
        <v>0.56079011098986997</v>
      </c>
      <c r="Q183" s="11">
        <v>6.94856893108659E-7</v>
      </c>
      <c r="R183" s="11">
        <v>25</v>
      </c>
      <c r="S183">
        <v>6.22</v>
      </c>
      <c r="T183">
        <v>0</v>
      </c>
      <c r="U183">
        <v>0</v>
      </c>
      <c r="V183">
        <v>0</v>
      </c>
      <c r="W183">
        <v>0</v>
      </c>
      <c r="X183">
        <v>4.01</v>
      </c>
      <c r="Y183">
        <v>0</v>
      </c>
      <c r="Z183">
        <v>0.2</v>
      </c>
      <c r="AA183">
        <v>0.2</v>
      </c>
      <c r="AB183">
        <v>0.02</v>
      </c>
      <c r="AC183">
        <v>0.01</v>
      </c>
      <c r="AD183">
        <v>1E-3</v>
      </c>
    </row>
    <row r="184" spans="1:30" x14ac:dyDescent="0.3">
      <c r="A184" t="s">
        <v>104</v>
      </c>
      <c r="B184" t="s">
        <v>139</v>
      </c>
      <c r="C184" t="s">
        <v>9</v>
      </c>
      <c r="D184">
        <v>25</v>
      </c>
      <c r="E184">
        <v>76</v>
      </c>
      <c r="F184">
        <v>2</v>
      </c>
      <c r="G184">
        <v>25</v>
      </c>
      <c r="H184">
        <v>2</v>
      </c>
      <c r="I184" t="s">
        <v>21</v>
      </c>
      <c r="J184">
        <v>25</v>
      </c>
      <c r="K184">
        <v>1</v>
      </c>
      <c r="L184">
        <v>2</v>
      </c>
      <c r="M184">
        <v>0.1</v>
      </c>
      <c r="N184">
        <v>6000000</v>
      </c>
      <c r="O184">
        <v>621</v>
      </c>
      <c r="P184">
        <v>1.0087984758717261</v>
      </c>
      <c r="Q184" s="11">
        <v>7.047691388301524E-7</v>
      </c>
      <c r="R184" s="11">
        <v>25</v>
      </c>
      <c r="S184">
        <v>6.2</v>
      </c>
      <c r="T184">
        <v>1.95</v>
      </c>
      <c r="U184">
        <v>3.8</v>
      </c>
      <c r="V184">
        <v>0</v>
      </c>
      <c r="W184">
        <v>2</v>
      </c>
      <c r="X184">
        <v>0</v>
      </c>
      <c r="Y184">
        <v>0</v>
      </c>
      <c r="Z184">
        <v>0</v>
      </c>
      <c r="AA184">
        <v>0.03</v>
      </c>
      <c r="AB184">
        <v>2.1000000000000001E-2</v>
      </c>
      <c r="AC184">
        <v>4.0000000000000001E-3</v>
      </c>
      <c r="AD184">
        <v>8.0000000000000002E-3</v>
      </c>
    </row>
    <row r="185" spans="1:30" x14ac:dyDescent="0.3">
      <c r="A185" t="s">
        <v>105</v>
      </c>
      <c r="B185" t="s">
        <v>139</v>
      </c>
      <c r="C185" t="s">
        <v>9</v>
      </c>
      <c r="D185">
        <v>25</v>
      </c>
      <c r="E185">
        <v>76</v>
      </c>
      <c r="F185">
        <v>2</v>
      </c>
      <c r="G185">
        <v>25</v>
      </c>
      <c r="H185">
        <v>2</v>
      </c>
      <c r="I185" t="s">
        <v>21</v>
      </c>
      <c r="J185">
        <v>25</v>
      </c>
      <c r="K185">
        <v>1</v>
      </c>
      <c r="L185">
        <v>2</v>
      </c>
      <c r="M185">
        <v>-1</v>
      </c>
      <c r="N185">
        <v>10000000</v>
      </c>
      <c r="O185">
        <v>500</v>
      </c>
      <c r="P185">
        <v>1.0099075945242479</v>
      </c>
      <c r="Q185" s="11">
        <v>6.9974671095948523E-7</v>
      </c>
      <c r="R185" s="11">
        <v>25</v>
      </c>
      <c r="S185">
        <v>5.8</v>
      </c>
      <c r="T185">
        <v>4</v>
      </c>
      <c r="U185">
        <v>3.72</v>
      </c>
      <c r="V185">
        <v>0.69</v>
      </c>
      <c r="W185">
        <v>0.54</v>
      </c>
      <c r="X185">
        <v>0</v>
      </c>
      <c r="Y185">
        <v>0.34</v>
      </c>
      <c r="Z185">
        <v>8.9999999999999993E-3</v>
      </c>
      <c r="AA185">
        <v>0.105</v>
      </c>
      <c r="AB185">
        <v>0.05</v>
      </c>
      <c r="AC185">
        <v>2.5000000000000001E-3</v>
      </c>
      <c r="AD185">
        <v>4.0000000000000001E-3</v>
      </c>
    </row>
    <row r="186" spans="1:30" x14ac:dyDescent="0.3">
      <c r="A186" t="s">
        <v>106</v>
      </c>
      <c r="B186" t="s">
        <v>139</v>
      </c>
      <c r="C186" t="s">
        <v>4</v>
      </c>
      <c r="D186">
        <v>25</v>
      </c>
      <c r="E186">
        <v>76</v>
      </c>
      <c r="F186">
        <v>2</v>
      </c>
      <c r="G186">
        <v>970</v>
      </c>
      <c r="H186">
        <v>0.5</v>
      </c>
      <c r="I186" t="s">
        <v>21</v>
      </c>
      <c r="J186">
        <v>700</v>
      </c>
      <c r="K186">
        <v>0.5</v>
      </c>
      <c r="L186">
        <v>2</v>
      </c>
      <c r="M186">
        <v>0.1</v>
      </c>
      <c r="N186">
        <v>10000000</v>
      </c>
      <c r="O186">
        <v>460</v>
      </c>
      <c r="P186">
        <v>1.0099075945242479</v>
      </c>
      <c r="Q186" s="11">
        <v>6.9782393929713368E-7</v>
      </c>
      <c r="R186" s="11">
        <v>25</v>
      </c>
      <c r="S186">
        <v>5.8</v>
      </c>
      <c r="T186">
        <v>4</v>
      </c>
      <c r="U186">
        <v>3.72</v>
      </c>
      <c r="V186">
        <v>0.69</v>
      </c>
      <c r="W186">
        <v>0.54</v>
      </c>
      <c r="X186">
        <v>0</v>
      </c>
      <c r="Y186">
        <v>0.34</v>
      </c>
      <c r="Z186">
        <v>8.9999999999999993E-3</v>
      </c>
      <c r="AA186">
        <v>0.105</v>
      </c>
      <c r="AB186">
        <v>0.05</v>
      </c>
      <c r="AC186">
        <v>2.5000000000000001E-3</v>
      </c>
      <c r="AD186">
        <v>4.0000000000000001E-3</v>
      </c>
    </row>
    <row r="187" spans="1:30" x14ac:dyDescent="0.3">
      <c r="A187" t="s">
        <v>107</v>
      </c>
      <c r="B187" t="s">
        <v>139</v>
      </c>
      <c r="C187" t="s">
        <v>4</v>
      </c>
      <c r="D187">
        <v>25</v>
      </c>
      <c r="E187">
        <v>76</v>
      </c>
      <c r="F187">
        <v>2</v>
      </c>
      <c r="G187">
        <v>932</v>
      </c>
      <c r="H187">
        <v>1</v>
      </c>
      <c r="I187" t="s">
        <v>21</v>
      </c>
      <c r="J187">
        <v>704</v>
      </c>
      <c r="K187">
        <v>2</v>
      </c>
      <c r="L187">
        <v>2</v>
      </c>
      <c r="M187">
        <v>-1</v>
      </c>
      <c r="N187">
        <v>10000000</v>
      </c>
      <c r="O187">
        <v>373.46699999999998</v>
      </c>
      <c r="P187">
        <v>0.56079011098986997</v>
      </c>
      <c r="Q187" s="11">
        <v>6.9304140105534451E-7</v>
      </c>
      <c r="R187" s="11">
        <v>25</v>
      </c>
      <c r="S187">
        <v>6.22</v>
      </c>
      <c r="T187">
        <v>0</v>
      </c>
      <c r="U187">
        <v>0</v>
      </c>
      <c r="V187">
        <v>0</v>
      </c>
      <c r="W187">
        <v>0</v>
      </c>
      <c r="X187">
        <v>4.01</v>
      </c>
      <c r="Y187">
        <v>0</v>
      </c>
      <c r="Z187">
        <v>0.2</v>
      </c>
      <c r="AA187">
        <v>0.2</v>
      </c>
      <c r="AB187">
        <v>0.02</v>
      </c>
      <c r="AC187">
        <v>0.01</v>
      </c>
      <c r="AD187">
        <v>1E-3</v>
      </c>
    </row>
    <row r="188" spans="1:30" x14ac:dyDescent="0.3">
      <c r="A188" t="s">
        <v>22</v>
      </c>
      <c r="B188" t="s">
        <v>139</v>
      </c>
      <c r="C188" t="s">
        <v>4</v>
      </c>
      <c r="D188">
        <v>25</v>
      </c>
      <c r="E188">
        <v>76</v>
      </c>
      <c r="F188">
        <v>2</v>
      </c>
      <c r="G188">
        <v>932</v>
      </c>
      <c r="H188">
        <v>1</v>
      </c>
      <c r="I188" t="s">
        <v>21</v>
      </c>
      <c r="J188">
        <v>704</v>
      </c>
      <c r="K188">
        <v>2</v>
      </c>
      <c r="L188">
        <v>2</v>
      </c>
      <c r="M188">
        <v>-1</v>
      </c>
      <c r="N188">
        <v>10000000</v>
      </c>
      <c r="O188">
        <v>390</v>
      </c>
      <c r="P188">
        <v>0.56079011098986997</v>
      </c>
      <c r="Q188" s="11">
        <v>6.9403278721720643E-7</v>
      </c>
      <c r="R188" s="11">
        <v>25</v>
      </c>
      <c r="S188">
        <v>6.27</v>
      </c>
      <c r="T188">
        <v>0</v>
      </c>
      <c r="U188">
        <v>0</v>
      </c>
      <c r="V188">
        <v>0</v>
      </c>
      <c r="W188">
        <v>0</v>
      </c>
      <c r="X188">
        <v>4.1900000000000004</v>
      </c>
      <c r="Y188">
        <v>0</v>
      </c>
      <c r="Z188">
        <v>0.2</v>
      </c>
      <c r="AA188">
        <v>0.18</v>
      </c>
      <c r="AB188">
        <v>0</v>
      </c>
      <c r="AC188">
        <v>1.2E-2</v>
      </c>
      <c r="AD188">
        <v>0</v>
      </c>
    </row>
    <row r="189" spans="1:30" x14ac:dyDescent="0.3">
      <c r="A189" t="s">
        <v>108</v>
      </c>
      <c r="B189" t="s">
        <v>139</v>
      </c>
      <c r="C189" t="s">
        <v>4</v>
      </c>
      <c r="D189">
        <v>25</v>
      </c>
      <c r="E189">
        <v>76</v>
      </c>
      <c r="F189">
        <v>2</v>
      </c>
      <c r="G189">
        <v>932</v>
      </c>
      <c r="H189">
        <v>1</v>
      </c>
      <c r="I189" t="s">
        <v>21</v>
      </c>
      <c r="J189">
        <v>704</v>
      </c>
      <c r="K189">
        <v>2</v>
      </c>
      <c r="L189">
        <v>2</v>
      </c>
      <c r="M189">
        <v>0.1</v>
      </c>
      <c r="N189">
        <v>10000000</v>
      </c>
      <c r="O189">
        <v>556</v>
      </c>
      <c r="P189">
        <v>0.56079011098986997</v>
      </c>
      <c r="Q189" s="11">
        <v>7.0220242315912406E-7</v>
      </c>
      <c r="R189" s="11">
        <v>25</v>
      </c>
      <c r="S189">
        <v>6.27</v>
      </c>
      <c r="T189">
        <v>0</v>
      </c>
      <c r="U189">
        <v>0</v>
      </c>
      <c r="V189">
        <v>0</v>
      </c>
      <c r="W189">
        <v>0</v>
      </c>
      <c r="X189">
        <v>4.1900000000000004</v>
      </c>
      <c r="Y189">
        <v>0</v>
      </c>
      <c r="Z189">
        <v>0.2</v>
      </c>
      <c r="AA189">
        <v>0.18</v>
      </c>
      <c r="AB189">
        <v>0</v>
      </c>
      <c r="AC189">
        <v>1.2E-2</v>
      </c>
      <c r="AD189">
        <v>0</v>
      </c>
    </row>
    <row r="190" spans="1:30" x14ac:dyDescent="0.3">
      <c r="A190" t="s">
        <v>109</v>
      </c>
      <c r="B190" t="s">
        <v>139</v>
      </c>
      <c r="C190" t="s">
        <v>4</v>
      </c>
      <c r="D190">
        <v>25</v>
      </c>
      <c r="E190">
        <v>76</v>
      </c>
      <c r="F190">
        <v>2</v>
      </c>
      <c r="G190">
        <v>932</v>
      </c>
      <c r="H190">
        <v>1</v>
      </c>
      <c r="I190" t="s">
        <v>21</v>
      </c>
      <c r="J190">
        <v>704</v>
      </c>
      <c r="K190">
        <v>2</v>
      </c>
      <c r="L190">
        <v>2</v>
      </c>
      <c r="M190">
        <v>0.5</v>
      </c>
      <c r="N190">
        <v>10000000</v>
      </c>
      <c r="O190">
        <v>640</v>
      </c>
      <c r="P190">
        <v>0.56079011098986997</v>
      </c>
      <c r="Q190" s="11">
        <v>7.0547039738631123E-7</v>
      </c>
      <c r="R190" s="11">
        <v>25</v>
      </c>
      <c r="S190">
        <v>6.27</v>
      </c>
      <c r="T190">
        <v>0</v>
      </c>
      <c r="U190">
        <v>0</v>
      </c>
      <c r="V190">
        <v>0</v>
      </c>
      <c r="W190">
        <v>0</v>
      </c>
      <c r="X190">
        <v>4.1900000000000004</v>
      </c>
      <c r="Y190">
        <v>0</v>
      </c>
      <c r="Z190">
        <v>0.2</v>
      </c>
      <c r="AA190">
        <v>0.18</v>
      </c>
      <c r="AB190">
        <v>0</v>
      </c>
      <c r="AC190">
        <v>1.2E-2</v>
      </c>
      <c r="AD190">
        <v>0</v>
      </c>
    </row>
    <row r="191" spans="1:30" x14ac:dyDescent="0.3">
      <c r="A191" t="s">
        <v>110</v>
      </c>
      <c r="B191" t="s">
        <v>139</v>
      </c>
      <c r="C191" t="s">
        <v>4</v>
      </c>
      <c r="D191">
        <v>25</v>
      </c>
      <c r="E191">
        <v>76</v>
      </c>
      <c r="F191">
        <v>2</v>
      </c>
      <c r="G191">
        <v>925</v>
      </c>
      <c r="H191">
        <v>1</v>
      </c>
      <c r="I191" t="s">
        <v>21</v>
      </c>
      <c r="J191">
        <v>700</v>
      </c>
      <c r="K191">
        <v>2</v>
      </c>
      <c r="L191">
        <v>2</v>
      </c>
      <c r="M191">
        <v>0.8</v>
      </c>
      <c r="N191">
        <v>10000000</v>
      </c>
      <c r="O191">
        <v>900</v>
      </c>
      <c r="P191">
        <v>0.56079011098986997</v>
      </c>
      <c r="Q191" s="11">
        <v>7.1345216221460716E-7</v>
      </c>
      <c r="R191" s="11">
        <v>25</v>
      </c>
      <c r="S191">
        <v>6.27</v>
      </c>
      <c r="T191">
        <v>0</v>
      </c>
      <c r="U191">
        <v>0</v>
      </c>
      <c r="V191">
        <v>0</v>
      </c>
      <c r="W191">
        <v>0</v>
      </c>
      <c r="X191">
        <v>4.1900000000000004</v>
      </c>
      <c r="Y191">
        <v>0</v>
      </c>
      <c r="Z191">
        <v>0.2</v>
      </c>
      <c r="AA191">
        <v>0.18</v>
      </c>
      <c r="AB191">
        <v>0</v>
      </c>
      <c r="AC191">
        <v>1.2E-2</v>
      </c>
      <c r="AD191">
        <v>0</v>
      </c>
    </row>
    <row r="192" spans="1:30" x14ac:dyDescent="0.3">
      <c r="A192" t="s">
        <v>111</v>
      </c>
      <c r="B192" t="s">
        <v>139</v>
      </c>
      <c r="C192" t="s">
        <v>4</v>
      </c>
      <c r="D192">
        <v>25</v>
      </c>
      <c r="E192">
        <v>76</v>
      </c>
      <c r="F192">
        <v>2</v>
      </c>
      <c r="G192">
        <v>925</v>
      </c>
      <c r="H192">
        <v>1</v>
      </c>
      <c r="I192" t="s">
        <v>21</v>
      </c>
      <c r="J192">
        <v>700</v>
      </c>
      <c r="K192">
        <v>2</v>
      </c>
      <c r="L192">
        <v>2</v>
      </c>
      <c r="M192">
        <v>0.1</v>
      </c>
      <c r="N192">
        <v>10000000</v>
      </c>
      <c r="O192">
        <v>540</v>
      </c>
      <c r="P192">
        <v>0.56079011098986997</v>
      </c>
      <c r="Q192" s="11">
        <v>7.0152612637489846E-7</v>
      </c>
      <c r="R192" s="11">
        <v>25</v>
      </c>
      <c r="S192">
        <v>6.27</v>
      </c>
      <c r="T192">
        <v>0</v>
      </c>
      <c r="U192">
        <v>0</v>
      </c>
      <c r="V192">
        <v>0</v>
      </c>
      <c r="W192">
        <v>0</v>
      </c>
      <c r="X192">
        <v>4.1900000000000004</v>
      </c>
      <c r="Y192">
        <v>0</v>
      </c>
      <c r="Z192">
        <v>0.2</v>
      </c>
      <c r="AA192">
        <v>0.18</v>
      </c>
      <c r="AB192">
        <v>0</v>
      </c>
      <c r="AC192">
        <v>1.2E-2</v>
      </c>
      <c r="AD192">
        <v>4.1000000000000003E-3</v>
      </c>
    </row>
    <row r="193" spans="1:30" x14ac:dyDescent="0.3">
      <c r="A193" t="s">
        <v>112</v>
      </c>
      <c r="B193" t="s">
        <v>139</v>
      </c>
      <c r="C193" t="s">
        <v>9</v>
      </c>
      <c r="D193">
        <v>25</v>
      </c>
      <c r="E193">
        <v>76</v>
      </c>
      <c r="F193">
        <v>2</v>
      </c>
      <c r="G193">
        <v>25</v>
      </c>
      <c r="H193">
        <v>2</v>
      </c>
      <c r="I193" t="s">
        <v>21</v>
      </c>
      <c r="J193">
        <v>25</v>
      </c>
      <c r="K193">
        <v>2</v>
      </c>
      <c r="L193">
        <v>2</v>
      </c>
      <c r="M193">
        <v>0.5</v>
      </c>
      <c r="N193">
        <v>10000000</v>
      </c>
      <c r="O193">
        <v>640</v>
      </c>
      <c r="P193">
        <v>0.56079011098986997</v>
      </c>
      <c r="Q193" s="11">
        <v>7.0547039738631123E-7</v>
      </c>
      <c r="R193" s="11">
        <v>25</v>
      </c>
      <c r="S193">
        <v>6.27</v>
      </c>
      <c r="T193">
        <v>0</v>
      </c>
      <c r="U193">
        <v>0</v>
      </c>
      <c r="V193">
        <v>0</v>
      </c>
      <c r="W193">
        <v>0</v>
      </c>
      <c r="X193">
        <v>4.1900000000000004</v>
      </c>
      <c r="Y193">
        <v>0</v>
      </c>
      <c r="Z193">
        <v>0.2</v>
      </c>
      <c r="AA193">
        <v>0.18</v>
      </c>
      <c r="AB193">
        <v>0</v>
      </c>
      <c r="AC193">
        <v>1.2E-2</v>
      </c>
      <c r="AD193">
        <v>4.1000000000000003E-3</v>
      </c>
    </row>
    <row r="194" spans="1:30" x14ac:dyDescent="0.3">
      <c r="A194" t="s">
        <v>113</v>
      </c>
      <c r="B194" t="s">
        <v>139</v>
      </c>
      <c r="C194" t="s">
        <v>9</v>
      </c>
      <c r="D194">
        <v>25</v>
      </c>
      <c r="E194">
        <v>76</v>
      </c>
      <c r="F194">
        <v>2</v>
      </c>
      <c r="G194">
        <v>25</v>
      </c>
      <c r="H194">
        <v>2</v>
      </c>
      <c r="I194" t="s">
        <v>21</v>
      </c>
      <c r="J194">
        <v>700</v>
      </c>
      <c r="K194">
        <v>2</v>
      </c>
      <c r="L194">
        <v>2</v>
      </c>
      <c r="M194">
        <v>-1</v>
      </c>
      <c r="N194">
        <v>10000000</v>
      </c>
      <c r="O194">
        <v>520</v>
      </c>
      <c r="P194">
        <v>0.56079011098986997</v>
      </c>
      <c r="Q194" s="11">
        <v>7.0065296795573415E-7</v>
      </c>
      <c r="R194" s="11">
        <v>25</v>
      </c>
      <c r="S194">
        <v>6.29</v>
      </c>
      <c r="T194">
        <v>0</v>
      </c>
      <c r="U194">
        <v>0</v>
      </c>
      <c r="V194">
        <v>0</v>
      </c>
      <c r="W194">
        <v>0</v>
      </c>
      <c r="X194">
        <v>4.1100000000000003</v>
      </c>
      <c r="Y194">
        <v>0</v>
      </c>
      <c r="Z194">
        <v>0.05</v>
      </c>
      <c r="AA194">
        <v>0.13</v>
      </c>
      <c r="AB194">
        <v>0.08</v>
      </c>
      <c r="AC194">
        <v>0.03</v>
      </c>
      <c r="AD194">
        <v>0</v>
      </c>
    </row>
    <row r="195" spans="1:30" x14ac:dyDescent="0.3">
      <c r="A195" t="s">
        <v>114</v>
      </c>
      <c r="B195" t="s">
        <v>139</v>
      </c>
      <c r="C195" t="s">
        <v>9</v>
      </c>
      <c r="D195">
        <v>25</v>
      </c>
      <c r="E195">
        <v>76</v>
      </c>
      <c r="F195">
        <v>2</v>
      </c>
      <c r="G195">
        <v>25</v>
      </c>
      <c r="H195">
        <v>2</v>
      </c>
      <c r="I195" t="s">
        <v>21</v>
      </c>
      <c r="J195">
        <v>700</v>
      </c>
      <c r="K195">
        <v>2</v>
      </c>
      <c r="L195">
        <v>2</v>
      </c>
      <c r="M195">
        <v>0.1</v>
      </c>
      <c r="N195">
        <v>10000000</v>
      </c>
      <c r="O195">
        <v>498</v>
      </c>
      <c r="P195">
        <v>0.56079011098986997</v>
      </c>
      <c r="Q195" s="11">
        <v>6.996541652868005E-7</v>
      </c>
      <c r="R195" s="11">
        <v>25</v>
      </c>
      <c r="S195">
        <v>6.3</v>
      </c>
      <c r="T195">
        <v>0</v>
      </c>
      <c r="U195">
        <v>0</v>
      </c>
      <c r="V195">
        <v>0</v>
      </c>
      <c r="W195">
        <v>0</v>
      </c>
      <c r="X195">
        <v>4.2</v>
      </c>
      <c r="Y195">
        <v>0</v>
      </c>
      <c r="Z195">
        <v>0.19</v>
      </c>
      <c r="AA195">
        <v>0.19</v>
      </c>
      <c r="AB195">
        <v>0</v>
      </c>
      <c r="AC195">
        <v>1.2999999999999999E-2</v>
      </c>
      <c r="AD195">
        <v>4.1000000000000003E-3</v>
      </c>
    </row>
    <row r="196" spans="1:30" x14ac:dyDescent="0.3">
      <c r="A196" t="s">
        <v>115</v>
      </c>
      <c r="B196" t="s">
        <v>139</v>
      </c>
      <c r="C196" t="s">
        <v>9</v>
      </c>
      <c r="D196">
        <v>25</v>
      </c>
      <c r="E196">
        <v>76</v>
      </c>
      <c r="F196">
        <v>2</v>
      </c>
      <c r="G196">
        <v>25</v>
      </c>
      <c r="H196">
        <v>2</v>
      </c>
      <c r="I196" t="s">
        <v>21</v>
      </c>
      <c r="J196">
        <v>700</v>
      </c>
      <c r="K196">
        <v>2</v>
      </c>
      <c r="L196">
        <v>2</v>
      </c>
      <c r="M196">
        <v>0.5</v>
      </c>
      <c r="N196">
        <v>10000000</v>
      </c>
      <c r="O196">
        <v>582</v>
      </c>
      <c r="P196">
        <v>0.56079011098986997</v>
      </c>
      <c r="Q196" s="11">
        <v>7.0326226354482357E-7</v>
      </c>
      <c r="R196" s="11">
        <v>25</v>
      </c>
      <c r="S196">
        <v>6.3</v>
      </c>
      <c r="T196">
        <v>0</v>
      </c>
      <c r="U196">
        <v>0</v>
      </c>
      <c r="V196">
        <v>0</v>
      </c>
      <c r="W196">
        <v>0</v>
      </c>
      <c r="X196">
        <v>4.2</v>
      </c>
      <c r="Y196">
        <v>0</v>
      </c>
      <c r="Z196">
        <v>0.19</v>
      </c>
      <c r="AA196">
        <v>0.19</v>
      </c>
      <c r="AB196">
        <v>0</v>
      </c>
      <c r="AC196">
        <v>1.2999999999999999E-2</v>
      </c>
      <c r="AD196">
        <v>4.1000000000000003E-3</v>
      </c>
    </row>
    <row r="197" spans="1:30" x14ac:dyDescent="0.3">
      <c r="A197" t="s">
        <v>116</v>
      </c>
      <c r="B197" t="s">
        <v>139</v>
      </c>
      <c r="C197" t="s">
        <v>9</v>
      </c>
      <c r="D197">
        <v>25</v>
      </c>
      <c r="E197">
        <v>76</v>
      </c>
      <c r="F197">
        <v>2</v>
      </c>
      <c r="G197">
        <v>25</v>
      </c>
      <c r="H197">
        <v>2</v>
      </c>
      <c r="I197" t="s">
        <v>21</v>
      </c>
      <c r="J197">
        <v>500</v>
      </c>
      <c r="K197">
        <v>24</v>
      </c>
      <c r="L197">
        <v>2</v>
      </c>
      <c r="M197">
        <v>0</v>
      </c>
      <c r="N197">
        <v>10000000</v>
      </c>
      <c r="O197">
        <v>680</v>
      </c>
      <c r="P197">
        <v>0.56079011098986997</v>
      </c>
      <c r="Q197" s="11">
        <v>7.068831830428903E-7</v>
      </c>
      <c r="R197" s="11">
        <v>25</v>
      </c>
      <c r="S197">
        <v>6.27</v>
      </c>
      <c r="T197">
        <v>0</v>
      </c>
      <c r="U197">
        <v>0</v>
      </c>
      <c r="V197">
        <v>0</v>
      </c>
      <c r="W197">
        <v>0</v>
      </c>
      <c r="X197">
        <v>4.1900000000000004</v>
      </c>
      <c r="Y197">
        <v>0</v>
      </c>
      <c r="Z197">
        <v>0.2</v>
      </c>
      <c r="AA197">
        <v>0.18</v>
      </c>
      <c r="AB197">
        <v>0</v>
      </c>
      <c r="AC197">
        <v>1.2E-2</v>
      </c>
      <c r="AD197">
        <v>4.1000000000000003E-3</v>
      </c>
    </row>
    <row r="198" spans="1:30" x14ac:dyDescent="0.3">
      <c r="A198" t="s">
        <v>117</v>
      </c>
      <c r="B198" t="s">
        <v>139</v>
      </c>
      <c r="C198" t="s">
        <v>9</v>
      </c>
      <c r="D198">
        <v>25</v>
      </c>
      <c r="E198">
        <v>76</v>
      </c>
      <c r="F198">
        <v>2</v>
      </c>
      <c r="G198">
        <v>25</v>
      </c>
      <c r="H198">
        <v>2</v>
      </c>
      <c r="I198" t="s">
        <v>21</v>
      </c>
      <c r="J198">
        <v>500</v>
      </c>
      <c r="K198">
        <v>24</v>
      </c>
      <c r="L198">
        <v>2</v>
      </c>
      <c r="M198">
        <v>0</v>
      </c>
      <c r="N198">
        <v>10000000</v>
      </c>
      <c r="O198">
        <v>540</v>
      </c>
      <c r="P198">
        <v>0.56079011098986997</v>
      </c>
      <c r="Q198" s="11">
        <v>7.0152612637489846E-7</v>
      </c>
      <c r="R198" s="11">
        <v>25</v>
      </c>
      <c r="S198">
        <v>6.27</v>
      </c>
      <c r="T198">
        <v>0</v>
      </c>
      <c r="U198">
        <v>0</v>
      </c>
      <c r="V198">
        <v>0</v>
      </c>
      <c r="W198">
        <v>0</v>
      </c>
      <c r="X198">
        <v>4.1900000000000004</v>
      </c>
      <c r="Y198">
        <v>0</v>
      </c>
      <c r="Z198">
        <v>0.2</v>
      </c>
      <c r="AA198">
        <v>0.18</v>
      </c>
      <c r="AB198">
        <v>0</v>
      </c>
      <c r="AC198">
        <v>1.2E-2</v>
      </c>
      <c r="AD198">
        <v>4.1000000000000003E-3</v>
      </c>
    </row>
    <row r="199" spans="1:30" x14ac:dyDescent="0.3">
      <c r="A199" t="s">
        <v>118</v>
      </c>
      <c r="B199" t="s">
        <v>139</v>
      </c>
      <c r="C199" t="s">
        <v>9</v>
      </c>
      <c r="D199">
        <v>25</v>
      </c>
      <c r="E199">
        <v>76</v>
      </c>
      <c r="F199">
        <v>2</v>
      </c>
      <c r="G199">
        <v>25</v>
      </c>
      <c r="H199">
        <v>2</v>
      </c>
      <c r="I199" t="s">
        <v>21</v>
      </c>
      <c r="J199">
        <v>500</v>
      </c>
      <c r="K199">
        <v>24</v>
      </c>
      <c r="L199">
        <v>2</v>
      </c>
      <c r="M199">
        <v>0</v>
      </c>
      <c r="N199">
        <v>10000000</v>
      </c>
      <c r="O199">
        <v>600</v>
      </c>
      <c r="P199">
        <v>0.56079011098986997</v>
      </c>
      <c r="Q199" s="11">
        <v>7.0396950569851215E-7</v>
      </c>
      <c r="R199" s="11">
        <v>25</v>
      </c>
      <c r="S199">
        <v>6.27</v>
      </c>
      <c r="T199">
        <v>0</v>
      </c>
      <c r="U199">
        <v>0</v>
      </c>
      <c r="V199">
        <v>0</v>
      </c>
      <c r="W199">
        <v>0</v>
      </c>
      <c r="X199">
        <v>4.1900000000000004</v>
      </c>
      <c r="Y199">
        <v>0</v>
      </c>
      <c r="Z199">
        <v>0.2</v>
      </c>
      <c r="AA199">
        <v>0.18</v>
      </c>
      <c r="AB199">
        <v>0</v>
      </c>
      <c r="AC199">
        <v>1.2E-2</v>
      </c>
      <c r="AD199">
        <v>4.1000000000000003E-3</v>
      </c>
    </row>
    <row r="200" spans="1:30" x14ac:dyDescent="0.3">
      <c r="A200" t="s">
        <v>119</v>
      </c>
      <c r="B200" t="s">
        <v>139</v>
      </c>
      <c r="C200" t="s">
        <v>9</v>
      </c>
      <c r="D200">
        <v>25</v>
      </c>
      <c r="E200">
        <v>76</v>
      </c>
      <c r="F200">
        <v>2</v>
      </c>
      <c r="G200">
        <v>25</v>
      </c>
      <c r="H200">
        <v>2</v>
      </c>
      <c r="I200" t="s">
        <v>21</v>
      </c>
      <c r="J200">
        <v>500</v>
      </c>
      <c r="K200">
        <v>24</v>
      </c>
      <c r="L200">
        <v>2</v>
      </c>
      <c r="M200">
        <v>0</v>
      </c>
      <c r="N200">
        <v>10000000</v>
      </c>
      <c r="O200">
        <v>730</v>
      </c>
      <c r="P200">
        <v>0.56079011098986997</v>
      </c>
      <c r="Q200" s="11">
        <v>7.085402236252149E-7</v>
      </c>
      <c r="R200" s="11">
        <v>25</v>
      </c>
      <c r="S200">
        <v>6.27</v>
      </c>
      <c r="T200">
        <v>0</v>
      </c>
      <c r="U200">
        <v>0</v>
      </c>
      <c r="V200">
        <v>0</v>
      </c>
      <c r="W200">
        <v>0</v>
      </c>
      <c r="X200">
        <v>4.1900000000000004</v>
      </c>
      <c r="Y200">
        <v>0</v>
      </c>
      <c r="Z200">
        <v>0.2</v>
      </c>
      <c r="AA200">
        <v>0.18</v>
      </c>
      <c r="AB200">
        <v>0</v>
      </c>
      <c r="AC200">
        <v>1.2E-2</v>
      </c>
      <c r="AD200">
        <v>4.1000000000000003E-3</v>
      </c>
    </row>
    <row r="201" spans="1:30" x14ac:dyDescent="0.3">
      <c r="A201" t="s">
        <v>120</v>
      </c>
      <c r="B201" t="s">
        <v>139</v>
      </c>
      <c r="C201" t="s">
        <v>9</v>
      </c>
      <c r="D201">
        <v>25</v>
      </c>
      <c r="E201">
        <v>76</v>
      </c>
      <c r="F201">
        <v>2</v>
      </c>
      <c r="G201">
        <v>25</v>
      </c>
      <c r="H201">
        <v>2</v>
      </c>
      <c r="I201" t="s">
        <v>21</v>
      </c>
      <c r="J201">
        <v>500</v>
      </c>
      <c r="K201">
        <v>24</v>
      </c>
      <c r="L201">
        <v>2</v>
      </c>
      <c r="M201">
        <v>0</v>
      </c>
      <c r="N201">
        <v>10000000</v>
      </c>
      <c r="O201">
        <v>800</v>
      </c>
      <c r="P201">
        <v>0.56079011098986997</v>
      </c>
      <c r="Q201" s="11">
        <v>7.1068446995952741E-7</v>
      </c>
      <c r="R201" s="11">
        <v>25</v>
      </c>
      <c r="S201">
        <v>6.27</v>
      </c>
      <c r="T201">
        <v>0</v>
      </c>
      <c r="U201">
        <v>0</v>
      </c>
      <c r="V201">
        <v>0</v>
      </c>
      <c r="W201">
        <v>0</v>
      </c>
      <c r="X201">
        <v>4.1900000000000004</v>
      </c>
      <c r="Y201">
        <v>0</v>
      </c>
      <c r="Z201">
        <v>0.2</v>
      </c>
      <c r="AA201">
        <v>0.18</v>
      </c>
      <c r="AB201">
        <v>0</v>
      </c>
      <c r="AC201">
        <v>1.2E-2</v>
      </c>
      <c r="AD201">
        <v>4.1000000000000003E-3</v>
      </c>
    </row>
    <row r="202" spans="1:30" x14ac:dyDescent="0.3">
      <c r="A202" t="s">
        <v>121</v>
      </c>
      <c r="B202" t="s">
        <v>139</v>
      </c>
      <c r="C202" t="s">
        <v>4</v>
      </c>
      <c r="D202">
        <v>25</v>
      </c>
      <c r="E202">
        <v>76</v>
      </c>
      <c r="F202">
        <v>2</v>
      </c>
      <c r="G202">
        <v>1050</v>
      </c>
      <c r="H202">
        <v>0.25</v>
      </c>
      <c r="I202" t="s">
        <v>21</v>
      </c>
      <c r="J202">
        <v>500</v>
      </c>
      <c r="K202">
        <v>24</v>
      </c>
      <c r="L202">
        <v>2</v>
      </c>
      <c r="M202">
        <v>0</v>
      </c>
      <c r="N202">
        <v>10000000</v>
      </c>
      <c r="O202">
        <v>680</v>
      </c>
      <c r="P202">
        <v>0.56079011098986997</v>
      </c>
      <c r="Q202" s="11">
        <v>7.068831830428903E-7</v>
      </c>
      <c r="R202" s="11">
        <v>25</v>
      </c>
      <c r="S202">
        <v>6.27</v>
      </c>
      <c r="T202">
        <v>0</v>
      </c>
      <c r="U202">
        <v>0</v>
      </c>
      <c r="V202">
        <v>0</v>
      </c>
      <c r="W202">
        <v>0</v>
      </c>
      <c r="X202">
        <v>4.1900000000000004</v>
      </c>
      <c r="Y202">
        <v>0</v>
      </c>
      <c r="Z202">
        <v>0.2</v>
      </c>
      <c r="AA202">
        <v>0.18</v>
      </c>
      <c r="AB202">
        <v>0</v>
      </c>
      <c r="AC202">
        <v>1.2E-2</v>
      </c>
      <c r="AD202">
        <v>4.1000000000000003E-3</v>
      </c>
    </row>
    <row r="203" spans="1:30" x14ac:dyDescent="0.3">
      <c r="A203" t="s">
        <v>122</v>
      </c>
      <c r="B203" t="s">
        <v>139</v>
      </c>
      <c r="C203" t="s">
        <v>9</v>
      </c>
      <c r="D203">
        <v>25</v>
      </c>
      <c r="E203">
        <v>76</v>
      </c>
      <c r="F203">
        <v>2</v>
      </c>
      <c r="G203">
        <v>25</v>
      </c>
      <c r="H203">
        <v>1</v>
      </c>
      <c r="I203" t="s">
        <v>21</v>
      </c>
      <c r="J203">
        <v>595</v>
      </c>
      <c r="K203">
        <v>8</v>
      </c>
      <c r="L203">
        <v>2</v>
      </c>
      <c r="M203">
        <v>-1</v>
      </c>
      <c r="N203">
        <v>10000000</v>
      </c>
      <c r="O203">
        <v>620</v>
      </c>
      <c r="P203">
        <v>0.56079011098986997</v>
      </c>
      <c r="Q203" s="11">
        <v>7.04731658140099E-7</v>
      </c>
      <c r="R203" s="11">
        <v>25</v>
      </c>
      <c r="S203">
        <v>6.4</v>
      </c>
      <c r="T203">
        <v>0</v>
      </c>
      <c r="U203">
        <v>0</v>
      </c>
      <c r="V203">
        <v>0</v>
      </c>
      <c r="W203">
        <v>0</v>
      </c>
      <c r="X203">
        <v>4</v>
      </c>
      <c r="Y203">
        <v>0</v>
      </c>
      <c r="Z203">
        <v>0</v>
      </c>
      <c r="AA203">
        <v>0.19</v>
      </c>
      <c r="AB203">
        <v>0</v>
      </c>
      <c r="AC203">
        <v>0</v>
      </c>
      <c r="AD203">
        <v>0</v>
      </c>
    </row>
    <row r="204" spans="1:30" x14ac:dyDescent="0.3">
      <c r="A204" t="s">
        <v>123</v>
      </c>
      <c r="B204" t="s">
        <v>139</v>
      </c>
      <c r="C204" t="s">
        <v>9</v>
      </c>
      <c r="D204">
        <v>25</v>
      </c>
      <c r="E204">
        <v>76</v>
      </c>
      <c r="F204">
        <v>2</v>
      </c>
      <c r="G204">
        <v>25</v>
      </c>
      <c r="H204">
        <v>1</v>
      </c>
      <c r="I204" t="s">
        <v>21</v>
      </c>
      <c r="J204">
        <v>1300</v>
      </c>
      <c r="K204">
        <v>4</v>
      </c>
      <c r="L204">
        <v>2</v>
      </c>
      <c r="M204">
        <v>0.1</v>
      </c>
      <c r="N204">
        <v>10000000</v>
      </c>
      <c r="O204">
        <v>750</v>
      </c>
      <c r="P204">
        <v>0.95917011249040085</v>
      </c>
      <c r="Q204" s="11">
        <v>7.0917248530707131E-7</v>
      </c>
      <c r="R204" s="11">
        <v>25</v>
      </c>
      <c r="S204">
        <v>6</v>
      </c>
      <c r="T204">
        <v>2</v>
      </c>
      <c r="U204">
        <v>4</v>
      </c>
      <c r="V204">
        <v>0</v>
      </c>
      <c r="W204">
        <v>6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">
      <c r="A205" t="s">
        <v>124</v>
      </c>
      <c r="B205" t="s">
        <v>139</v>
      </c>
      <c r="C205" t="s">
        <v>9</v>
      </c>
      <c r="D205">
        <v>25</v>
      </c>
      <c r="E205">
        <v>76</v>
      </c>
      <c r="F205">
        <v>2</v>
      </c>
      <c r="G205">
        <v>25</v>
      </c>
      <c r="H205">
        <v>1</v>
      </c>
      <c r="I205" t="s">
        <v>21</v>
      </c>
      <c r="J205">
        <v>1300</v>
      </c>
      <c r="K205">
        <v>4</v>
      </c>
      <c r="L205">
        <v>2</v>
      </c>
      <c r="M205">
        <v>0</v>
      </c>
      <c r="N205">
        <v>10000000</v>
      </c>
      <c r="O205">
        <v>268.16000000000003</v>
      </c>
      <c r="P205">
        <v>0.54440322001040764</v>
      </c>
      <c r="Q205" s="11">
        <v>6.8550694263994496E-7</v>
      </c>
      <c r="R205" s="11">
        <v>25</v>
      </c>
      <c r="S205">
        <v>8.67</v>
      </c>
      <c r="T205">
        <v>0</v>
      </c>
      <c r="U205">
        <v>0</v>
      </c>
      <c r="V205">
        <v>18.7</v>
      </c>
      <c r="W205">
        <v>0</v>
      </c>
      <c r="X205">
        <v>0</v>
      </c>
      <c r="Y205">
        <v>0</v>
      </c>
      <c r="Z205">
        <v>0</v>
      </c>
      <c r="AA205">
        <v>2E-3</v>
      </c>
      <c r="AB205">
        <v>1.6E-2</v>
      </c>
      <c r="AC205">
        <v>0.53</v>
      </c>
      <c r="AD205">
        <v>2.3E-2</v>
      </c>
    </row>
    <row r="206" spans="1:30" x14ac:dyDescent="0.3">
      <c r="A206" t="s">
        <v>125</v>
      </c>
      <c r="B206" t="s">
        <v>139</v>
      </c>
      <c r="C206" t="s">
        <v>9</v>
      </c>
      <c r="D206">
        <v>25</v>
      </c>
      <c r="E206">
        <v>76</v>
      </c>
      <c r="F206">
        <v>2</v>
      </c>
      <c r="G206">
        <v>25</v>
      </c>
      <c r="H206">
        <v>1</v>
      </c>
      <c r="I206" t="s">
        <v>21</v>
      </c>
      <c r="J206">
        <v>1300</v>
      </c>
      <c r="K206">
        <v>4</v>
      </c>
      <c r="L206">
        <v>2</v>
      </c>
      <c r="M206">
        <v>0</v>
      </c>
      <c r="N206">
        <v>10000000</v>
      </c>
      <c r="O206">
        <v>206.5</v>
      </c>
      <c r="P206">
        <v>0.54440322001040764</v>
      </c>
      <c r="Q206" s="11">
        <v>6.7962166914683587E-7</v>
      </c>
      <c r="R206" s="11">
        <v>25</v>
      </c>
      <c r="S206">
        <v>8.67</v>
      </c>
      <c r="T206">
        <v>0</v>
      </c>
      <c r="U206">
        <v>0</v>
      </c>
      <c r="V206">
        <v>18.7</v>
      </c>
      <c r="W206">
        <v>0</v>
      </c>
      <c r="X206">
        <v>0</v>
      </c>
      <c r="Y206">
        <v>0</v>
      </c>
      <c r="Z206">
        <v>0</v>
      </c>
      <c r="AA206">
        <v>2E-3</v>
      </c>
      <c r="AB206">
        <v>1.6E-2</v>
      </c>
      <c r="AC206">
        <v>0.53</v>
      </c>
      <c r="AD206">
        <v>2.3E-2</v>
      </c>
    </row>
    <row r="207" spans="1:30" x14ac:dyDescent="0.3">
      <c r="A207" t="s">
        <v>126</v>
      </c>
      <c r="B207" t="s">
        <v>139</v>
      </c>
      <c r="C207" t="s">
        <v>9</v>
      </c>
      <c r="D207">
        <v>25</v>
      </c>
      <c r="E207">
        <v>76</v>
      </c>
      <c r="F207">
        <v>2</v>
      </c>
      <c r="G207">
        <v>25</v>
      </c>
      <c r="H207">
        <v>1</v>
      </c>
      <c r="I207" t="s">
        <v>21</v>
      </c>
      <c r="J207">
        <v>800</v>
      </c>
      <c r="K207">
        <v>2</v>
      </c>
      <c r="L207">
        <v>2</v>
      </c>
      <c r="M207">
        <v>0</v>
      </c>
      <c r="N207">
        <v>10000000</v>
      </c>
      <c r="O207">
        <v>298.43</v>
      </c>
      <c r="P207">
        <v>0.54440322001040764</v>
      </c>
      <c r="Q207" s="11">
        <v>6.8793064695724391E-7</v>
      </c>
      <c r="R207" s="11">
        <v>25</v>
      </c>
      <c r="S207">
        <v>8.67</v>
      </c>
      <c r="T207">
        <v>0</v>
      </c>
      <c r="U207">
        <v>0</v>
      </c>
      <c r="V207">
        <v>18.7</v>
      </c>
      <c r="W207">
        <v>0</v>
      </c>
      <c r="X207">
        <v>0</v>
      </c>
      <c r="Y207">
        <v>0</v>
      </c>
      <c r="Z207">
        <v>0</v>
      </c>
      <c r="AA207">
        <v>2E-3</v>
      </c>
      <c r="AB207">
        <v>1.6E-2</v>
      </c>
      <c r="AC207">
        <v>0.53</v>
      </c>
      <c r="AD207">
        <v>2.3E-2</v>
      </c>
    </row>
    <row r="208" spans="1:30" x14ac:dyDescent="0.3">
      <c r="A208" t="s">
        <v>127</v>
      </c>
      <c r="B208" t="s">
        <v>139</v>
      </c>
      <c r="C208" t="s">
        <v>9</v>
      </c>
      <c r="D208">
        <v>25</v>
      </c>
      <c r="E208">
        <v>76</v>
      </c>
      <c r="F208">
        <v>2</v>
      </c>
      <c r="G208">
        <v>25</v>
      </c>
      <c r="H208">
        <v>1</v>
      </c>
      <c r="I208" t="s">
        <v>21</v>
      </c>
      <c r="J208">
        <v>800</v>
      </c>
      <c r="K208">
        <v>2</v>
      </c>
      <c r="L208">
        <v>2</v>
      </c>
      <c r="M208">
        <v>0.1</v>
      </c>
      <c r="N208">
        <v>12572495</v>
      </c>
      <c r="O208">
        <v>1098.3499999999999</v>
      </c>
      <c r="P208">
        <v>0.95917011249040085</v>
      </c>
      <c r="Q208" s="11">
        <v>7.181568389237017E-7</v>
      </c>
      <c r="R208" s="11">
        <v>25</v>
      </c>
      <c r="S208">
        <v>6.12</v>
      </c>
      <c r="T208">
        <v>2.1800000000000002</v>
      </c>
      <c r="U208">
        <v>4.3499999999999996</v>
      </c>
      <c r="V208">
        <v>0</v>
      </c>
      <c r="W208">
        <v>2.19</v>
      </c>
      <c r="X208">
        <v>0</v>
      </c>
      <c r="Y208">
        <v>0.1</v>
      </c>
      <c r="Z208">
        <v>0.1</v>
      </c>
      <c r="AA208">
        <v>0.1</v>
      </c>
      <c r="AB208">
        <v>0.01</v>
      </c>
      <c r="AC208">
        <v>0.01</v>
      </c>
      <c r="AD208">
        <v>8.9999999999999993E-3</v>
      </c>
    </row>
    <row r="209" spans="1:30" x14ac:dyDescent="0.3">
      <c r="A209" t="s">
        <v>128</v>
      </c>
      <c r="B209" t="s">
        <v>139</v>
      </c>
      <c r="C209" t="s">
        <v>9</v>
      </c>
      <c r="D209">
        <v>25</v>
      </c>
      <c r="E209">
        <v>76</v>
      </c>
      <c r="F209">
        <v>2</v>
      </c>
      <c r="G209">
        <v>25</v>
      </c>
      <c r="H209">
        <v>1</v>
      </c>
      <c r="I209" t="s">
        <v>21</v>
      </c>
      <c r="J209">
        <v>600</v>
      </c>
      <c r="K209">
        <v>8</v>
      </c>
      <c r="L209">
        <v>2</v>
      </c>
      <c r="M209">
        <v>0.1</v>
      </c>
      <c r="N209">
        <v>22483487</v>
      </c>
      <c r="O209">
        <v>1045.6500000000001</v>
      </c>
      <c r="P209">
        <v>0.95917011249040085</v>
      </c>
      <c r="Q209" s="11">
        <v>7.1699248701852634E-7</v>
      </c>
      <c r="R209" s="11">
        <v>25</v>
      </c>
      <c r="S209">
        <v>6.12</v>
      </c>
      <c r="T209">
        <v>2.1800000000000002</v>
      </c>
      <c r="U209">
        <v>4.3499999999999996</v>
      </c>
      <c r="V209">
        <v>0</v>
      </c>
      <c r="W209">
        <v>2.19</v>
      </c>
      <c r="X209">
        <v>0</v>
      </c>
      <c r="Y209">
        <v>0.1</v>
      </c>
      <c r="Z209">
        <v>0.1</v>
      </c>
      <c r="AA209">
        <v>0.1</v>
      </c>
      <c r="AB209">
        <v>0.01</v>
      </c>
      <c r="AC209">
        <v>0.01</v>
      </c>
      <c r="AD209">
        <v>8.9999999999999993E-3</v>
      </c>
    </row>
    <row r="210" spans="1:30" x14ac:dyDescent="0.3">
      <c r="A210" t="s">
        <v>129</v>
      </c>
      <c r="B210" t="s">
        <v>139</v>
      </c>
      <c r="C210" t="s">
        <v>9</v>
      </c>
      <c r="D210">
        <v>25</v>
      </c>
      <c r="E210">
        <v>76</v>
      </c>
      <c r="F210">
        <v>2</v>
      </c>
      <c r="G210">
        <v>25</v>
      </c>
      <c r="H210">
        <v>1</v>
      </c>
      <c r="I210" t="s">
        <v>21</v>
      </c>
      <c r="J210">
        <v>800</v>
      </c>
      <c r="K210">
        <v>2</v>
      </c>
      <c r="L210">
        <v>2</v>
      </c>
      <c r="M210">
        <v>0.1</v>
      </c>
      <c r="N210">
        <v>30000000</v>
      </c>
      <c r="O210">
        <v>703</v>
      </c>
      <c r="P210">
        <v>0.95917011249040085</v>
      </c>
      <c r="Q210" s="11">
        <v>7.0765956542524853E-7</v>
      </c>
      <c r="R210" s="11">
        <v>25</v>
      </c>
      <c r="S210">
        <v>6.2</v>
      </c>
      <c r="T210">
        <v>1.95</v>
      </c>
      <c r="U210">
        <v>3.8</v>
      </c>
      <c r="V210">
        <v>0</v>
      </c>
      <c r="W210">
        <v>2</v>
      </c>
      <c r="X210">
        <v>0</v>
      </c>
      <c r="Y210">
        <v>0</v>
      </c>
      <c r="Z210">
        <v>0</v>
      </c>
      <c r="AA210">
        <v>0.03</v>
      </c>
      <c r="AB210">
        <v>2.1000000000000001E-2</v>
      </c>
      <c r="AC210">
        <v>4.0000000000000001E-3</v>
      </c>
      <c r="AD210">
        <v>8.0000000000000002E-3</v>
      </c>
    </row>
    <row r="211" spans="1:30" x14ac:dyDescent="0.3">
      <c r="A211" t="s">
        <v>130</v>
      </c>
      <c r="B211" t="s">
        <v>139</v>
      </c>
      <c r="C211" t="s">
        <v>9</v>
      </c>
      <c r="D211">
        <v>25</v>
      </c>
      <c r="E211">
        <v>76</v>
      </c>
      <c r="F211">
        <v>2</v>
      </c>
      <c r="G211">
        <v>25</v>
      </c>
      <c r="H211">
        <v>1</v>
      </c>
      <c r="I211" t="s">
        <v>21</v>
      </c>
      <c r="J211">
        <v>800</v>
      </c>
      <c r="K211">
        <v>2</v>
      </c>
      <c r="L211">
        <v>2</v>
      </c>
      <c r="M211">
        <v>0.1</v>
      </c>
      <c r="N211">
        <v>34482918</v>
      </c>
      <c r="O211">
        <v>947.76</v>
      </c>
      <c r="P211">
        <v>0.95917011249040085</v>
      </c>
      <c r="Q211" s="11">
        <v>7.1467057618442428E-7</v>
      </c>
      <c r="R211" s="11">
        <v>25</v>
      </c>
      <c r="S211">
        <v>6.12</v>
      </c>
      <c r="T211">
        <v>2.1800000000000002</v>
      </c>
      <c r="U211">
        <v>4.3499999999999996</v>
      </c>
      <c r="V211">
        <v>0</v>
      </c>
      <c r="W211">
        <v>2.19</v>
      </c>
      <c r="X211">
        <v>0</v>
      </c>
      <c r="Y211">
        <v>0.1</v>
      </c>
      <c r="Z211">
        <v>0.1</v>
      </c>
      <c r="AA211">
        <v>0.1</v>
      </c>
      <c r="AB211">
        <v>0.01</v>
      </c>
      <c r="AC211">
        <v>0.01</v>
      </c>
      <c r="AD211">
        <v>8.9999999999999993E-3</v>
      </c>
    </row>
    <row r="212" spans="1:30" x14ac:dyDescent="0.3">
      <c r="A212" t="s">
        <v>131</v>
      </c>
      <c r="B212" t="s">
        <v>139</v>
      </c>
      <c r="C212" t="s">
        <v>9</v>
      </c>
      <c r="D212">
        <v>25</v>
      </c>
      <c r="E212">
        <v>76</v>
      </c>
      <c r="F212">
        <v>2</v>
      </c>
      <c r="G212">
        <v>25</v>
      </c>
      <c r="H212">
        <v>1</v>
      </c>
      <c r="I212" t="s">
        <v>21</v>
      </c>
      <c r="J212">
        <v>800</v>
      </c>
      <c r="K212">
        <v>2</v>
      </c>
      <c r="L212">
        <v>2</v>
      </c>
      <c r="M212">
        <v>0.1</v>
      </c>
      <c r="N212">
        <v>39420453</v>
      </c>
      <c r="O212">
        <v>846.12</v>
      </c>
      <c r="P212">
        <v>0.95917011249040085</v>
      </c>
      <c r="Q212" s="11">
        <v>7.1200019138758044E-7</v>
      </c>
      <c r="R212" s="11">
        <v>25</v>
      </c>
      <c r="S212">
        <v>6.12</v>
      </c>
      <c r="T212">
        <v>2.1800000000000002</v>
      </c>
      <c r="U212">
        <v>4.3499999999999996</v>
      </c>
      <c r="V212">
        <v>0</v>
      </c>
      <c r="W212">
        <v>2.19</v>
      </c>
      <c r="X212">
        <v>0</v>
      </c>
      <c r="Y212">
        <v>0.1</v>
      </c>
      <c r="Z212">
        <v>0.1</v>
      </c>
      <c r="AA212">
        <v>0.1</v>
      </c>
      <c r="AB212">
        <v>0.01</v>
      </c>
      <c r="AC212">
        <v>0.01</v>
      </c>
      <c r="AD212">
        <v>8.9999999999999993E-3</v>
      </c>
    </row>
    <row r="213" spans="1:30" x14ac:dyDescent="0.3">
      <c r="A213" t="s">
        <v>132</v>
      </c>
      <c r="B213" t="s">
        <v>139</v>
      </c>
      <c r="C213" t="s">
        <v>9</v>
      </c>
      <c r="D213">
        <v>25</v>
      </c>
      <c r="E213">
        <v>76</v>
      </c>
      <c r="F213">
        <v>2</v>
      </c>
      <c r="G213">
        <v>25</v>
      </c>
      <c r="H213">
        <v>1</v>
      </c>
      <c r="I213" t="s">
        <v>21</v>
      </c>
      <c r="J213">
        <v>800</v>
      </c>
      <c r="K213">
        <v>2</v>
      </c>
      <c r="L213">
        <v>2</v>
      </c>
      <c r="M213">
        <v>0.1</v>
      </c>
      <c r="N213">
        <v>47590556</v>
      </c>
      <c r="O213">
        <v>695.53</v>
      </c>
      <c r="P213">
        <v>0.95917011249040085</v>
      </c>
      <c r="Q213" s="11">
        <v>7.0741013770736338E-7</v>
      </c>
      <c r="R213" s="11">
        <v>25</v>
      </c>
      <c r="S213">
        <v>6.12</v>
      </c>
      <c r="T213">
        <v>2.1800000000000002</v>
      </c>
      <c r="U213">
        <v>4.3499999999999996</v>
      </c>
      <c r="V213">
        <v>0</v>
      </c>
      <c r="W213">
        <v>2.19</v>
      </c>
      <c r="X213">
        <v>0</v>
      </c>
      <c r="Y213">
        <v>0.1</v>
      </c>
      <c r="Z213">
        <v>0.1</v>
      </c>
      <c r="AA213">
        <v>0.1</v>
      </c>
      <c r="AB213">
        <v>0.01</v>
      </c>
      <c r="AC213">
        <v>0.01</v>
      </c>
      <c r="AD213">
        <v>8.9999999999999993E-3</v>
      </c>
    </row>
    <row r="214" spans="1:30" x14ac:dyDescent="0.3">
      <c r="A214" t="s">
        <v>133</v>
      </c>
      <c r="B214" t="s">
        <v>139</v>
      </c>
      <c r="C214" t="s">
        <v>9</v>
      </c>
      <c r="D214">
        <v>25</v>
      </c>
      <c r="E214">
        <v>76</v>
      </c>
      <c r="F214">
        <v>2</v>
      </c>
      <c r="G214">
        <v>25</v>
      </c>
      <c r="H214">
        <v>1</v>
      </c>
      <c r="I214" t="s">
        <v>21</v>
      </c>
      <c r="J214">
        <v>800</v>
      </c>
      <c r="K214">
        <v>2</v>
      </c>
      <c r="L214">
        <v>2</v>
      </c>
      <c r="M214">
        <v>0.1</v>
      </c>
      <c r="N214">
        <v>55964069</v>
      </c>
      <c r="O214">
        <v>597.65</v>
      </c>
      <c r="P214">
        <v>0.95917011249040085</v>
      </c>
      <c r="Q214" s="11">
        <v>7.0387834489128274E-7</v>
      </c>
      <c r="R214" s="11">
        <v>25</v>
      </c>
      <c r="S214">
        <v>6.12</v>
      </c>
      <c r="T214">
        <v>2.1800000000000002</v>
      </c>
      <c r="U214">
        <v>4.3499999999999996</v>
      </c>
      <c r="V214">
        <v>0</v>
      </c>
      <c r="W214">
        <v>2.19</v>
      </c>
      <c r="X214">
        <v>0</v>
      </c>
      <c r="Y214">
        <v>0.1</v>
      </c>
      <c r="Z214">
        <v>0.1</v>
      </c>
      <c r="AA214">
        <v>0.1</v>
      </c>
      <c r="AB214">
        <v>0.01</v>
      </c>
      <c r="AC214">
        <v>0.01</v>
      </c>
      <c r="AD214">
        <v>8.9999999999999993E-3</v>
      </c>
    </row>
    <row r="215" spans="1:30" x14ac:dyDescent="0.3">
      <c r="A215" t="s">
        <v>134</v>
      </c>
      <c r="B215" t="s">
        <v>139</v>
      </c>
      <c r="C215" t="s">
        <v>9</v>
      </c>
      <c r="D215">
        <v>25</v>
      </c>
      <c r="E215">
        <v>76</v>
      </c>
      <c r="F215">
        <v>2</v>
      </c>
      <c r="G215">
        <v>25</v>
      </c>
      <c r="H215">
        <v>1</v>
      </c>
      <c r="I215" t="s">
        <v>21</v>
      </c>
      <c r="J215">
        <v>800</v>
      </c>
      <c r="K215">
        <v>2</v>
      </c>
      <c r="L215">
        <v>2</v>
      </c>
      <c r="M215">
        <v>0.1</v>
      </c>
      <c r="N215">
        <v>75226561</v>
      </c>
      <c r="O215">
        <v>546.88199999999995</v>
      </c>
      <c r="P215">
        <v>0.95917011249040085</v>
      </c>
      <c r="Q215" s="11">
        <v>7.0181936191952185E-7</v>
      </c>
      <c r="R215" s="11">
        <v>25</v>
      </c>
      <c r="S215">
        <v>6.12</v>
      </c>
      <c r="T215">
        <v>2.1800000000000002</v>
      </c>
      <c r="U215">
        <v>4.3499999999999996</v>
      </c>
      <c r="V215">
        <v>0</v>
      </c>
      <c r="W215">
        <v>2.19</v>
      </c>
      <c r="X215">
        <v>0</v>
      </c>
      <c r="Y215">
        <v>0.1</v>
      </c>
      <c r="Z215">
        <v>0.1</v>
      </c>
      <c r="AA215">
        <v>0.1</v>
      </c>
      <c r="AB215">
        <v>0.01</v>
      </c>
      <c r="AC215">
        <v>0.01</v>
      </c>
      <c r="AD215">
        <v>8.9999999999999993E-3</v>
      </c>
    </row>
    <row r="216" spans="1:30" x14ac:dyDescent="0.3">
      <c r="A216" t="s">
        <v>135</v>
      </c>
      <c r="B216" t="s">
        <v>139</v>
      </c>
      <c r="C216" t="s">
        <v>9</v>
      </c>
      <c r="D216">
        <v>25</v>
      </c>
      <c r="E216">
        <v>76</v>
      </c>
      <c r="F216">
        <v>2</v>
      </c>
      <c r="G216">
        <v>25</v>
      </c>
      <c r="H216">
        <v>1</v>
      </c>
      <c r="I216" t="s">
        <v>21</v>
      </c>
      <c r="J216">
        <v>1300</v>
      </c>
      <c r="K216">
        <v>4</v>
      </c>
      <c r="L216">
        <v>2</v>
      </c>
      <c r="M216">
        <v>0.1</v>
      </c>
      <c r="N216">
        <v>94680341</v>
      </c>
      <c r="O216">
        <v>497.88</v>
      </c>
      <c r="P216">
        <v>0.95917011249040085</v>
      </c>
      <c r="Q216" s="11">
        <v>6.996486011234658E-7</v>
      </c>
      <c r="R216" s="11">
        <v>25</v>
      </c>
      <c r="S216">
        <v>6.12</v>
      </c>
      <c r="T216">
        <v>2.1800000000000002</v>
      </c>
      <c r="U216">
        <v>4.3499999999999996</v>
      </c>
      <c r="V216">
        <v>0</v>
      </c>
      <c r="W216">
        <v>2.19</v>
      </c>
      <c r="X216">
        <v>0</v>
      </c>
      <c r="Y216">
        <v>0.1</v>
      </c>
      <c r="Z216">
        <v>0.1</v>
      </c>
      <c r="AA216">
        <v>0.1</v>
      </c>
      <c r="AB216">
        <v>0.01</v>
      </c>
      <c r="AC216">
        <v>0.01</v>
      </c>
      <c r="AD216">
        <v>8.9999999999999993E-3</v>
      </c>
    </row>
    <row r="217" spans="1:30" x14ac:dyDescent="0.3">
      <c r="A217" t="s">
        <v>136</v>
      </c>
      <c r="B217" t="s">
        <v>139</v>
      </c>
      <c r="C217" t="s">
        <v>9</v>
      </c>
      <c r="D217">
        <v>25</v>
      </c>
      <c r="E217">
        <v>76</v>
      </c>
      <c r="F217">
        <v>2</v>
      </c>
      <c r="G217">
        <v>25</v>
      </c>
      <c r="H217">
        <v>1</v>
      </c>
      <c r="I217" t="s">
        <v>21</v>
      </c>
      <c r="J217">
        <v>1300</v>
      </c>
      <c r="K217">
        <v>4</v>
      </c>
      <c r="L217">
        <v>2</v>
      </c>
      <c r="M217">
        <v>-1</v>
      </c>
      <c r="N217">
        <v>100000000</v>
      </c>
      <c r="O217">
        <v>500</v>
      </c>
      <c r="P217">
        <v>0.96022466747650492</v>
      </c>
      <c r="Q217" s="11">
        <v>6.9974671095948523E-7</v>
      </c>
      <c r="R217" s="11">
        <v>25</v>
      </c>
      <c r="S217">
        <v>5.8</v>
      </c>
      <c r="T217">
        <v>4</v>
      </c>
      <c r="U217">
        <v>3.72</v>
      </c>
      <c r="V217">
        <v>0.69</v>
      </c>
      <c r="W217">
        <v>0.54</v>
      </c>
      <c r="X217">
        <v>0</v>
      </c>
      <c r="Y217">
        <v>0.34</v>
      </c>
      <c r="Z217">
        <v>8.9999999999999993E-3</v>
      </c>
      <c r="AA217">
        <v>0.105</v>
      </c>
      <c r="AB217">
        <v>0.05</v>
      </c>
      <c r="AC217">
        <v>2.5000000000000001E-3</v>
      </c>
      <c r="AD217">
        <v>4.0000000000000001E-3</v>
      </c>
    </row>
    <row r="218" spans="1:30" x14ac:dyDescent="0.3">
      <c r="A218" t="s">
        <v>137</v>
      </c>
      <c r="B218" t="s">
        <v>139</v>
      </c>
      <c r="C218" t="s">
        <v>9</v>
      </c>
      <c r="D218">
        <v>25</v>
      </c>
      <c r="E218">
        <v>76</v>
      </c>
      <c r="F218">
        <v>2</v>
      </c>
      <c r="G218">
        <v>25</v>
      </c>
      <c r="H218">
        <v>1</v>
      </c>
      <c r="I218" t="s">
        <v>21</v>
      </c>
      <c r="J218">
        <v>1300</v>
      </c>
      <c r="K218">
        <v>4</v>
      </c>
      <c r="L218">
        <v>2</v>
      </c>
      <c r="M218">
        <v>0.1</v>
      </c>
      <c r="N218">
        <v>100000000</v>
      </c>
      <c r="O218">
        <v>400</v>
      </c>
      <c r="P218">
        <v>0.96022466747650492</v>
      </c>
      <c r="Q218" s="11">
        <v>6.9461288534764957E-7</v>
      </c>
      <c r="R218" s="11">
        <v>25</v>
      </c>
      <c r="S218">
        <v>5.8</v>
      </c>
      <c r="T218">
        <v>4</v>
      </c>
      <c r="U218">
        <v>3.72</v>
      </c>
      <c r="V218">
        <v>0.69</v>
      </c>
      <c r="W218">
        <v>0.54</v>
      </c>
      <c r="X218">
        <v>0</v>
      </c>
      <c r="Y218">
        <v>0.34</v>
      </c>
      <c r="Z218">
        <v>8.9999999999999993E-3</v>
      </c>
      <c r="AA218">
        <v>0.105</v>
      </c>
      <c r="AB218">
        <v>0.05</v>
      </c>
      <c r="AC218">
        <v>2.5000000000000001E-3</v>
      </c>
      <c r="AD218">
        <v>4.0000000000000001E-3</v>
      </c>
    </row>
    <row r="219" spans="1:30" x14ac:dyDescent="0.3">
      <c r="A219" t="s">
        <v>138</v>
      </c>
      <c r="B219" t="s">
        <v>139</v>
      </c>
      <c r="C219" t="s">
        <v>9</v>
      </c>
      <c r="D219">
        <v>25</v>
      </c>
      <c r="E219">
        <v>76</v>
      </c>
      <c r="F219">
        <v>2</v>
      </c>
      <c r="G219">
        <v>25</v>
      </c>
      <c r="H219">
        <v>1</v>
      </c>
      <c r="I219" t="s">
        <v>21</v>
      </c>
      <c r="J219">
        <v>1300</v>
      </c>
      <c r="K219">
        <v>4</v>
      </c>
      <c r="L219">
        <v>2</v>
      </c>
      <c r="M219">
        <v>-1</v>
      </c>
      <c r="N219">
        <v>100000000</v>
      </c>
      <c r="O219">
        <v>253.59</v>
      </c>
      <c r="P219">
        <v>0.54440322001040764</v>
      </c>
      <c r="Q219" s="11">
        <v>6.8424434330461663E-7</v>
      </c>
      <c r="R219" s="11">
        <v>25</v>
      </c>
      <c r="S219">
        <v>8.67</v>
      </c>
      <c r="T219">
        <v>0</v>
      </c>
      <c r="U219">
        <v>0</v>
      </c>
      <c r="V219">
        <v>18.7</v>
      </c>
      <c r="W219">
        <v>0</v>
      </c>
      <c r="X219">
        <v>0</v>
      </c>
      <c r="Y219">
        <v>0</v>
      </c>
      <c r="Z219">
        <v>0</v>
      </c>
      <c r="AA219">
        <v>2E-3</v>
      </c>
      <c r="AB219">
        <v>1.6E-2</v>
      </c>
      <c r="AC219">
        <v>0.53</v>
      </c>
      <c r="AD219">
        <v>2.3E-2</v>
      </c>
    </row>
    <row r="220" spans="1:30" x14ac:dyDescent="0.3">
      <c r="A220" s="15" t="s">
        <v>173</v>
      </c>
      <c r="B220" s="15" t="s">
        <v>139</v>
      </c>
      <c r="C220" s="15" t="s">
        <v>9</v>
      </c>
      <c r="D220" s="15">
        <v>25</v>
      </c>
      <c r="E220" s="15">
        <v>76</v>
      </c>
      <c r="F220" s="15">
        <v>2</v>
      </c>
      <c r="G220" s="16">
        <v>690</v>
      </c>
      <c r="H220" s="16">
        <v>4</v>
      </c>
      <c r="I220" s="15" t="s">
        <v>21</v>
      </c>
      <c r="J220" s="16">
        <v>1050</v>
      </c>
      <c r="K220" s="16">
        <v>0.5</v>
      </c>
      <c r="L220" s="15">
        <v>2</v>
      </c>
      <c r="M220" s="15">
        <v>-1</v>
      </c>
      <c r="N220" s="17">
        <v>128.56795654309033</v>
      </c>
      <c r="O220" s="16">
        <v>319</v>
      </c>
      <c r="P220" s="16">
        <v>0.01</v>
      </c>
      <c r="Q220" s="24">
        <v>2.0899999999999998E-3</v>
      </c>
      <c r="R220" s="18">
        <v>700</v>
      </c>
      <c r="S220" s="16">
        <v>6.75</v>
      </c>
      <c r="T220" s="16">
        <v>0</v>
      </c>
      <c r="U220" s="16">
        <v>0</v>
      </c>
      <c r="V220" s="16">
        <v>0</v>
      </c>
      <c r="W220" s="18">
        <v>0</v>
      </c>
      <c r="X220" s="18">
        <v>4.5</v>
      </c>
      <c r="Y220" s="16">
        <v>0</v>
      </c>
      <c r="Z220" s="15">
        <v>0.4</v>
      </c>
      <c r="AA220" s="18">
        <v>0.2</v>
      </c>
      <c r="AB220" s="18">
        <v>0.1</v>
      </c>
      <c r="AC220" s="18">
        <v>0.05</v>
      </c>
      <c r="AD220" s="18">
        <v>0.125</v>
      </c>
    </row>
    <row r="221" spans="1:30" x14ac:dyDescent="0.3">
      <c r="A221" s="15" t="s">
        <v>174</v>
      </c>
      <c r="B221" s="15" t="s">
        <v>139</v>
      </c>
      <c r="C221" s="15" t="s">
        <v>9</v>
      </c>
      <c r="D221" s="15">
        <v>25</v>
      </c>
      <c r="E221" s="15">
        <v>76</v>
      </c>
      <c r="F221" s="15">
        <v>2</v>
      </c>
      <c r="G221" s="16">
        <v>0</v>
      </c>
      <c r="H221" s="16">
        <v>0</v>
      </c>
      <c r="I221" s="15" t="s">
        <v>21</v>
      </c>
      <c r="J221" s="16">
        <v>0</v>
      </c>
      <c r="K221" s="16">
        <v>0</v>
      </c>
      <c r="L221" s="15">
        <v>2</v>
      </c>
      <c r="M221" s="15">
        <v>-1</v>
      </c>
      <c r="N221" s="17">
        <v>49.1665120978884</v>
      </c>
      <c r="O221" s="16">
        <v>319</v>
      </c>
      <c r="P221" s="16">
        <v>1.167E-2</v>
      </c>
      <c r="Q221" s="24">
        <v>3.2399999999999999E-6</v>
      </c>
      <c r="R221" s="18">
        <v>600</v>
      </c>
      <c r="S221" s="16">
        <v>6.61</v>
      </c>
      <c r="T221" s="16">
        <v>0</v>
      </c>
      <c r="U221" s="16">
        <v>0</v>
      </c>
      <c r="V221" s="16">
        <v>0</v>
      </c>
      <c r="W221" s="18">
        <v>0</v>
      </c>
      <c r="X221" s="18">
        <v>4.2300000000000004</v>
      </c>
      <c r="Y221" s="16">
        <v>0</v>
      </c>
      <c r="Z221" s="18">
        <v>1.18</v>
      </c>
      <c r="AA221" s="18">
        <v>0.13</v>
      </c>
      <c r="AB221" s="18">
        <v>2.5999999999999999E-2</v>
      </c>
      <c r="AC221" s="18">
        <v>1.0999999999999999E-2</v>
      </c>
      <c r="AD221" s="18">
        <v>3.0000000000000001E-3</v>
      </c>
    </row>
    <row r="222" spans="1:30" x14ac:dyDescent="0.3">
      <c r="A222" s="15" t="s">
        <v>175</v>
      </c>
      <c r="B222" s="15" t="s">
        <v>139</v>
      </c>
      <c r="C222" s="15" t="s">
        <v>9</v>
      </c>
      <c r="D222" s="15">
        <v>25</v>
      </c>
      <c r="E222" s="15">
        <v>76</v>
      </c>
      <c r="F222" s="15">
        <v>2</v>
      </c>
      <c r="G222" s="16">
        <v>0</v>
      </c>
      <c r="H222" s="16">
        <v>0</v>
      </c>
      <c r="I222" s="15" t="s">
        <v>21</v>
      </c>
      <c r="J222" s="16">
        <v>0</v>
      </c>
      <c r="K222" s="16">
        <v>0</v>
      </c>
      <c r="L222" s="15">
        <v>2</v>
      </c>
      <c r="M222" s="15">
        <v>-1</v>
      </c>
      <c r="N222" s="17">
        <v>49.1665120978884</v>
      </c>
      <c r="O222" s="16">
        <v>250</v>
      </c>
      <c r="P222" s="16">
        <v>3.0499999999999999E-2</v>
      </c>
      <c r="Q222" s="24">
        <v>4.3999999999999999E-5</v>
      </c>
      <c r="R222" s="18">
        <v>600</v>
      </c>
      <c r="S222" s="16">
        <v>6.61</v>
      </c>
      <c r="T222" s="16">
        <v>0</v>
      </c>
      <c r="U222" s="16">
        <v>0</v>
      </c>
      <c r="V222" s="16">
        <v>0</v>
      </c>
      <c r="W222" s="18">
        <v>0</v>
      </c>
      <c r="X222" s="18">
        <v>4.2300000000000004</v>
      </c>
      <c r="Y222" s="16">
        <v>0</v>
      </c>
      <c r="Z222" s="18">
        <v>1.18</v>
      </c>
      <c r="AA222" s="18">
        <v>0.13</v>
      </c>
      <c r="AB222" s="18">
        <v>2.5999999999999999E-2</v>
      </c>
      <c r="AC222" s="18">
        <v>1.0999999999999999E-2</v>
      </c>
      <c r="AD222" s="18">
        <v>3.0000000000000001E-3</v>
      </c>
    </row>
    <row r="223" spans="1:30" x14ac:dyDescent="0.3">
      <c r="A223" s="15" t="s">
        <v>176</v>
      </c>
      <c r="B223" s="15" t="s">
        <v>139</v>
      </c>
      <c r="C223" s="15" t="s">
        <v>9</v>
      </c>
      <c r="D223" s="15">
        <v>25</v>
      </c>
      <c r="E223" s="15">
        <v>76</v>
      </c>
      <c r="F223" s="15">
        <v>2</v>
      </c>
      <c r="G223" s="16">
        <v>0</v>
      </c>
      <c r="H223" s="16">
        <v>0</v>
      </c>
      <c r="I223" s="15" t="s">
        <v>21</v>
      </c>
      <c r="J223" s="16">
        <v>0</v>
      </c>
      <c r="K223" s="16">
        <v>0</v>
      </c>
      <c r="L223" s="15">
        <v>2</v>
      </c>
      <c r="M223" s="15">
        <v>-1</v>
      </c>
      <c r="N223" s="17">
        <v>49.1665120978884</v>
      </c>
      <c r="O223" s="16">
        <v>520</v>
      </c>
      <c r="P223" s="16">
        <v>4.6199999999999998E-2</v>
      </c>
      <c r="Q223" s="24">
        <v>4.4299999999999999E-5</v>
      </c>
      <c r="R223" s="18">
        <v>500</v>
      </c>
      <c r="S223" s="16">
        <v>6.61</v>
      </c>
      <c r="T223" s="16">
        <v>0</v>
      </c>
      <c r="U223" s="16">
        <v>0</v>
      </c>
      <c r="V223" s="16">
        <v>0</v>
      </c>
      <c r="W223" s="18">
        <v>0</v>
      </c>
      <c r="X223" s="18">
        <v>4.2300000000000004</v>
      </c>
      <c r="Y223" s="16">
        <v>0</v>
      </c>
      <c r="Z223" s="18">
        <v>1.18</v>
      </c>
      <c r="AA223" s="18">
        <v>0.13</v>
      </c>
      <c r="AB223" s="18">
        <v>2.5999999999999999E-2</v>
      </c>
      <c r="AC223" s="18">
        <v>1.0999999999999999E-2</v>
      </c>
      <c r="AD223" s="18">
        <v>3.0000000000000001E-3</v>
      </c>
    </row>
    <row r="224" spans="1:30" x14ac:dyDescent="0.3">
      <c r="A224" s="15" t="s">
        <v>177</v>
      </c>
      <c r="B224" s="15" t="s">
        <v>139</v>
      </c>
      <c r="C224" s="15" t="s">
        <v>9</v>
      </c>
      <c r="D224" s="15">
        <v>25</v>
      </c>
      <c r="E224" s="15">
        <v>76</v>
      </c>
      <c r="F224" s="15">
        <v>2</v>
      </c>
      <c r="G224" s="16">
        <v>0</v>
      </c>
      <c r="H224" s="16">
        <v>0</v>
      </c>
      <c r="I224" s="15" t="s">
        <v>21</v>
      </c>
      <c r="J224" s="16">
        <v>0</v>
      </c>
      <c r="K224" s="16">
        <v>0</v>
      </c>
      <c r="L224" s="15">
        <v>2</v>
      </c>
      <c r="M224" s="15">
        <v>-1</v>
      </c>
      <c r="N224" s="17">
        <v>49.1665120978884</v>
      </c>
      <c r="O224" s="16">
        <v>319</v>
      </c>
      <c r="P224" s="16">
        <v>0.05</v>
      </c>
      <c r="Q224" s="24">
        <v>2.1299999999999999E-3</v>
      </c>
      <c r="R224" s="18">
        <v>700</v>
      </c>
      <c r="S224" s="16">
        <v>6.61</v>
      </c>
      <c r="T224" s="16">
        <v>0</v>
      </c>
      <c r="U224" s="16">
        <v>0</v>
      </c>
      <c r="V224" s="16">
        <v>0</v>
      </c>
      <c r="W224" s="18">
        <v>0</v>
      </c>
      <c r="X224" s="18">
        <v>4.2300000000000004</v>
      </c>
      <c r="Y224" s="16">
        <v>0</v>
      </c>
      <c r="Z224" s="18">
        <v>1.18</v>
      </c>
      <c r="AA224" s="18">
        <v>0.13</v>
      </c>
      <c r="AB224" s="18">
        <v>2.5999999999999999E-2</v>
      </c>
      <c r="AC224" s="18">
        <v>1.0999999999999999E-2</v>
      </c>
      <c r="AD224" s="18">
        <v>3.0000000000000001E-3</v>
      </c>
    </row>
    <row r="225" spans="1:30" x14ac:dyDescent="0.3">
      <c r="A225" s="15" t="s">
        <v>178</v>
      </c>
      <c r="B225" s="15" t="s">
        <v>139</v>
      </c>
      <c r="C225" s="15" t="s">
        <v>9</v>
      </c>
      <c r="D225" s="15">
        <v>25</v>
      </c>
      <c r="E225" s="15">
        <v>76</v>
      </c>
      <c r="F225" s="15">
        <v>2</v>
      </c>
      <c r="G225" s="16">
        <v>0</v>
      </c>
      <c r="H225" s="16">
        <v>0</v>
      </c>
      <c r="I225" s="15" t="s">
        <v>21</v>
      </c>
      <c r="J225" s="16">
        <v>0</v>
      </c>
      <c r="K225" s="16">
        <v>0</v>
      </c>
      <c r="L225" s="15">
        <v>2</v>
      </c>
      <c r="M225" s="15">
        <v>-1</v>
      </c>
      <c r="N225" s="17">
        <v>49.1665120978884</v>
      </c>
      <c r="O225" s="19">
        <v>319</v>
      </c>
      <c r="P225" s="19">
        <v>0.09</v>
      </c>
      <c r="Q225" s="25">
        <v>3.5199999999999999E-4</v>
      </c>
      <c r="R225" s="19">
        <v>600</v>
      </c>
      <c r="S225" s="16">
        <v>6</v>
      </c>
      <c r="T225" s="16">
        <v>0</v>
      </c>
      <c r="U225" s="16">
        <v>0</v>
      </c>
      <c r="V225" s="16">
        <v>0</v>
      </c>
      <c r="W225" s="18">
        <v>0</v>
      </c>
      <c r="X225" s="18">
        <v>4</v>
      </c>
      <c r="Y225" s="16">
        <v>0</v>
      </c>
      <c r="Z225" s="18">
        <v>0.4</v>
      </c>
      <c r="AA225" s="18">
        <v>0.2</v>
      </c>
      <c r="AB225" s="18">
        <v>0.08</v>
      </c>
      <c r="AC225" s="18">
        <v>0.05</v>
      </c>
      <c r="AD225" s="18">
        <v>1.4999999999999999E-2</v>
      </c>
    </row>
    <row r="226" spans="1:30" x14ac:dyDescent="0.3">
      <c r="A226" s="15" t="s">
        <v>179</v>
      </c>
      <c r="B226" s="15" t="s">
        <v>139</v>
      </c>
      <c r="C226" s="15" t="s">
        <v>9</v>
      </c>
      <c r="D226" s="15">
        <v>25</v>
      </c>
      <c r="E226" s="15">
        <v>76</v>
      </c>
      <c r="F226" s="15">
        <v>2</v>
      </c>
      <c r="G226" s="16">
        <v>0</v>
      </c>
      <c r="H226" s="16">
        <v>0</v>
      </c>
      <c r="I226" s="15" t="s">
        <v>21</v>
      </c>
      <c r="J226" s="16">
        <v>0</v>
      </c>
      <c r="K226" s="16">
        <v>0</v>
      </c>
      <c r="L226" s="15">
        <v>2</v>
      </c>
      <c r="M226" s="15">
        <v>-1</v>
      </c>
      <c r="N226" s="17">
        <v>49.1665120978884</v>
      </c>
      <c r="O226" s="16">
        <v>222</v>
      </c>
      <c r="P226" s="16">
        <v>9.5799999999999996E-2</v>
      </c>
      <c r="Q226" s="24">
        <v>2.55E-5</v>
      </c>
      <c r="R226" s="18">
        <v>600</v>
      </c>
      <c r="S226" s="16">
        <v>6.61</v>
      </c>
      <c r="T226" s="16">
        <v>0</v>
      </c>
      <c r="U226" s="16">
        <v>0</v>
      </c>
      <c r="V226" s="16">
        <v>0</v>
      </c>
      <c r="W226" s="18">
        <v>0</v>
      </c>
      <c r="X226" s="18">
        <v>4.2300000000000004</v>
      </c>
      <c r="Y226" s="16">
        <v>0</v>
      </c>
      <c r="Z226" s="18">
        <v>1.18</v>
      </c>
      <c r="AA226" s="18">
        <v>0.13</v>
      </c>
      <c r="AB226" s="18">
        <v>2.5999999999999999E-2</v>
      </c>
      <c r="AC226" s="18">
        <v>1.0999999999999999E-2</v>
      </c>
      <c r="AD226" s="18">
        <v>3.0000000000000001E-3</v>
      </c>
    </row>
    <row r="227" spans="1:30" x14ac:dyDescent="0.3">
      <c r="A227" s="15" t="s">
        <v>180</v>
      </c>
      <c r="B227" s="15" t="s">
        <v>139</v>
      </c>
      <c r="C227" s="15" t="s">
        <v>9</v>
      </c>
      <c r="D227" s="15">
        <v>25</v>
      </c>
      <c r="E227" s="15">
        <v>76</v>
      </c>
      <c r="F227" s="15">
        <v>2</v>
      </c>
      <c r="G227" s="16">
        <v>0</v>
      </c>
      <c r="H227" s="16">
        <v>0</v>
      </c>
      <c r="I227" s="15" t="s">
        <v>21</v>
      </c>
      <c r="J227" s="16">
        <v>0</v>
      </c>
      <c r="K227" s="16">
        <v>0</v>
      </c>
      <c r="L227" s="15">
        <v>2</v>
      </c>
      <c r="M227" s="15">
        <v>-1</v>
      </c>
      <c r="N227" s="17">
        <v>49.1665120978884</v>
      </c>
      <c r="O227" s="19">
        <v>125</v>
      </c>
      <c r="P227" s="19">
        <v>0.11</v>
      </c>
      <c r="Q227" s="25">
        <v>4.1899999999999999E-4</v>
      </c>
      <c r="R227" s="19">
        <v>700</v>
      </c>
      <c r="S227" s="16">
        <v>6</v>
      </c>
      <c r="T227" s="16">
        <v>0</v>
      </c>
      <c r="U227" s="16">
        <v>0</v>
      </c>
      <c r="V227" s="16">
        <v>0</v>
      </c>
      <c r="W227" s="18">
        <v>0</v>
      </c>
      <c r="X227" s="18">
        <v>4</v>
      </c>
      <c r="Y227" s="16">
        <v>0</v>
      </c>
      <c r="Z227" s="18">
        <v>0.4</v>
      </c>
      <c r="AA227" s="18">
        <v>0.2</v>
      </c>
      <c r="AB227" s="18">
        <v>0.08</v>
      </c>
      <c r="AC227" s="18">
        <v>0.05</v>
      </c>
      <c r="AD227" s="18">
        <v>1.4999999999999999E-2</v>
      </c>
    </row>
    <row r="228" spans="1:30" x14ac:dyDescent="0.3">
      <c r="A228" s="15" t="s">
        <v>181</v>
      </c>
      <c r="B228" s="15" t="s">
        <v>139</v>
      </c>
      <c r="C228" s="15" t="s">
        <v>9</v>
      </c>
      <c r="D228" s="15">
        <v>25</v>
      </c>
      <c r="E228" s="15">
        <v>76</v>
      </c>
      <c r="F228" s="15">
        <v>2</v>
      </c>
      <c r="G228" s="16">
        <v>0</v>
      </c>
      <c r="H228" s="16">
        <v>0</v>
      </c>
      <c r="I228" s="15" t="s">
        <v>21</v>
      </c>
      <c r="J228" s="16">
        <v>0</v>
      </c>
      <c r="K228" s="16">
        <v>0</v>
      </c>
      <c r="L228" s="15">
        <v>2</v>
      </c>
      <c r="M228" s="15">
        <v>-1</v>
      </c>
      <c r="N228" s="17">
        <v>49.1665120978884</v>
      </c>
      <c r="O228" s="16">
        <v>56</v>
      </c>
      <c r="P228" s="16">
        <v>0.14099999999999999</v>
      </c>
      <c r="Q228" s="24">
        <v>4.3300000000000002E-5</v>
      </c>
      <c r="R228" s="18">
        <v>700</v>
      </c>
      <c r="S228" s="16">
        <v>6.61</v>
      </c>
      <c r="T228" s="16">
        <v>0</v>
      </c>
      <c r="U228" s="16">
        <v>0</v>
      </c>
      <c r="V228" s="16">
        <v>0</v>
      </c>
      <c r="W228" s="18">
        <v>0</v>
      </c>
      <c r="X228" s="18">
        <v>4.2300000000000004</v>
      </c>
      <c r="Y228" s="16">
        <v>0</v>
      </c>
      <c r="Z228" s="18">
        <v>1.18</v>
      </c>
      <c r="AA228" s="18">
        <v>0.13</v>
      </c>
      <c r="AB228" s="18">
        <v>2.5999999999999999E-2</v>
      </c>
      <c r="AC228" s="18">
        <v>1.0999999999999999E-2</v>
      </c>
      <c r="AD228" s="18">
        <v>3.0000000000000001E-3</v>
      </c>
    </row>
    <row r="229" spans="1:30" x14ac:dyDescent="0.3">
      <c r="A229" s="15" t="s">
        <v>182</v>
      </c>
      <c r="B229" s="15" t="s">
        <v>139</v>
      </c>
      <c r="C229" s="15" t="s">
        <v>9</v>
      </c>
      <c r="D229" s="15">
        <v>25</v>
      </c>
      <c r="E229" s="15">
        <v>76</v>
      </c>
      <c r="F229" s="15">
        <v>2</v>
      </c>
      <c r="G229" s="16">
        <v>0</v>
      </c>
      <c r="H229" s="16">
        <v>0</v>
      </c>
      <c r="I229" s="15" t="s">
        <v>21</v>
      </c>
      <c r="J229" s="16">
        <v>750</v>
      </c>
      <c r="K229" s="16">
        <v>1</v>
      </c>
      <c r="L229" s="15">
        <v>2</v>
      </c>
      <c r="M229" s="15">
        <v>-1</v>
      </c>
      <c r="N229" s="17">
        <v>95.942763543735339</v>
      </c>
      <c r="O229" s="16">
        <v>150</v>
      </c>
      <c r="P229" s="16">
        <v>0.14499999999999999</v>
      </c>
      <c r="Q229" s="24">
        <v>5.0900000000000001E-4</v>
      </c>
      <c r="R229" s="18">
        <v>650</v>
      </c>
      <c r="S229" s="16">
        <v>5.98</v>
      </c>
      <c r="T229" s="16">
        <v>0</v>
      </c>
      <c r="U229" s="16">
        <v>0</v>
      </c>
      <c r="V229" s="16">
        <v>0</v>
      </c>
      <c r="W229" s="18">
        <v>0</v>
      </c>
      <c r="X229" s="18">
        <v>4.25</v>
      </c>
      <c r="Y229" s="16">
        <v>0.23</v>
      </c>
      <c r="Z229" s="18">
        <v>0.23</v>
      </c>
      <c r="AA229" s="18">
        <v>0</v>
      </c>
      <c r="AB229" s="18">
        <v>0</v>
      </c>
      <c r="AC229" s="18">
        <v>0</v>
      </c>
      <c r="AD229" s="18">
        <v>0.4</v>
      </c>
    </row>
    <row r="230" spans="1:30" x14ac:dyDescent="0.3">
      <c r="A230" s="15" t="s">
        <v>183</v>
      </c>
      <c r="B230" s="15" t="s">
        <v>139</v>
      </c>
      <c r="C230" s="15" t="s">
        <v>9</v>
      </c>
      <c r="D230" s="15">
        <v>25</v>
      </c>
      <c r="E230" s="15">
        <v>76</v>
      </c>
      <c r="F230" s="15">
        <v>2</v>
      </c>
      <c r="G230" s="16">
        <v>0</v>
      </c>
      <c r="H230" s="16">
        <v>0</v>
      </c>
      <c r="I230" s="15" t="s">
        <v>21</v>
      </c>
      <c r="J230" s="16">
        <v>190</v>
      </c>
      <c r="K230" s="16">
        <v>6</v>
      </c>
      <c r="L230" s="15">
        <v>2</v>
      </c>
      <c r="M230" s="15">
        <v>-1</v>
      </c>
      <c r="N230" s="17">
        <v>94.596317279455903</v>
      </c>
      <c r="O230" s="16">
        <v>319</v>
      </c>
      <c r="P230" s="16">
        <v>0.17</v>
      </c>
      <c r="Q230" s="24">
        <v>1.5699999999999999E-4</v>
      </c>
      <c r="R230" s="18">
        <v>600</v>
      </c>
      <c r="S230" s="16">
        <v>6.33</v>
      </c>
      <c r="T230" s="16">
        <v>0</v>
      </c>
      <c r="U230" s="16">
        <v>0</v>
      </c>
      <c r="V230" s="16">
        <v>0</v>
      </c>
      <c r="W230" s="18">
        <v>0</v>
      </c>
      <c r="X230" s="18">
        <v>4</v>
      </c>
      <c r="Y230" s="16">
        <v>0</v>
      </c>
      <c r="Z230" s="18">
        <v>0.2</v>
      </c>
      <c r="AA230" s="18">
        <v>0.17</v>
      </c>
      <c r="AB230" s="18">
        <v>0.03</v>
      </c>
      <c r="AC230" s="18">
        <v>0.01</v>
      </c>
      <c r="AD230" s="18">
        <v>4.0000000000000001E-3</v>
      </c>
    </row>
    <row r="231" spans="1:30" x14ac:dyDescent="0.3">
      <c r="A231" s="15" t="s">
        <v>184</v>
      </c>
      <c r="B231" s="15" t="s">
        <v>139</v>
      </c>
      <c r="C231" s="15" t="s">
        <v>9</v>
      </c>
      <c r="D231" s="15">
        <v>25</v>
      </c>
      <c r="E231" s="15">
        <v>76</v>
      </c>
      <c r="F231" s="15">
        <v>2</v>
      </c>
      <c r="G231" s="16">
        <v>0</v>
      </c>
      <c r="H231" s="16">
        <v>0</v>
      </c>
      <c r="I231" s="15" t="s">
        <v>21</v>
      </c>
      <c r="J231" s="16">
        <v>950</v>
      </c>
      <c r="K231" s="16">
        <v>1</v>
      </c>
      <c r="L231" s="15">
        <v>2</v>
      </c>
      <c r="M231" s="15">
        <v>-1</v>
      </c>
      <c r="N231" s="17">
        <v>95.942763543735339</v>
      </c>
      <c r="O231" s="16">
        <v>319</v>
      </c>
      <c r="P231" s="16">
        <v>0.17</v>
      </c>
      <c r="Q231" s="24">
        <v>1.3899999999999999E-4</v>
      </c>
      <c r="R231" s="18">
        <v>600</v>
      </c>
      <c r="S231" s="16">
        <v>6.61</v>
      </c>
      <c r="T231" s="16">
        <v>0</v>
      </c>
      <c r="U231" s="16">
        <v>0</v>
      </c>
      <c r="V231" s="16">
        <v>0</v>
      </c>
      <c r="W231" s="18">
        <v>0</v>
      </c>
      <c r="X231" s="18">
        <v>4.2300000000000004</v>
      </c>
      <c r="Y231" s="16">
        <v>0</v>
      </c>
      <c r="Z231" s="18">
        <v>1.18</v>
      </c>
      <c r="AA231" s="18">
        <v>0.13</v>
      </c>
      <c r="AB231" s="18">
        <v>2.5999999999999999E-2</v>
      </c>
      <c r="AC231" s="18">
        <v>1.0999999999999999E-2</v>
      </c>
      <c r="AD231" s="18">
        <v>3.0000000000000001E-3</v>
      </c>
    </row>
    <row r="232" spans="1:30" x14ac:dyDescent="0.3">
      <c r="A232" s="15" t="s">
        <v>185</v>
      </c>
      <c r="B232" s="15" t="s">
        <v>139</v>
      </c>
      <c r="C232" s="15" t="s">
        <v>9</v>
      </c>
      <c r="D232" s="15">
        <v>25</v>
      </c>
      <c r="E232" s="15">
        <v>76</v>
      </c>
      <c r="F232" s="15">
        <v>2</v>
      </c>
      <c r="G232" s="16">
        <v>0</v>
      </c>
      <c r="H232" s="16">
        <v>0</v>
      </c>
      <c r="I232" s="15" t="s">
        <v>21</v>
      </c>
      <c r="J232" s="16">
        <v>0</v>
      </c>
      <c r="K232" s="16">
        <v>0</v>
      </c>
      <c r="L232" s="15">
        <v>2</v>
      </c>
      <c r="M232" s="15">
        <v>-1</v>
      </c>
      <c r="N232" s="17">
        <v>49.1665120978884</v>
      </c>
      <c r="O232" s="16">
        <v>319</v>
      </c>
      <c r="P232" s="16">
        <v>0.17</v>
      </c>
      <c r="Q232" s="24">
        <v>1.3899999999999999E-4</v>
      </c>
      <c r="R232" s="18">
        <v>600</v>
      </c>
      <c r="S232" s="16">
        <v>6.61</v>
      </c>
      <c r="T232" s="16">
        <v>0</v>
      </c>
      <c r="U232" s="16">
        <v>0</v>
      </c>
      <c r="V232" s="16">
        <v>0</v>
      </c>
      <c r="W232" s="18">
        <v>0</v>
      </c>
      <c r="X232" s="18">
        <v>4.2300000000000004</v>
      </c>
      <c r="Y232" s="16">
        <v>0</v>
      </c>
      <c r="Z232" s="18">
        <v>1.18</v>
      </c>
      <c r="AA232" s="18">
        <v>0.13</v>
      </c>
      <c r="AB232" s="18">
        <v>2.5999999999999999E-2</v>
      </c>
      <c r="AC232" s="18">
        <v>1.0999999999999999E-2</v>
      </c>
      <c r="AD232" s="18">
        <v>3.0000000000000001E-3</v>
      </c>
    </row>
    <row r="233" spans="1:30" x14ac:dyDescent="0.3">
      <c r="A233" s="15" t="s">
        <v>186</v>
      </c>
      <c r="B233" s="15" t="s">
        <v>139</v>
      </c>
      <c r="C233" s="15" t="s">
        <v>9</v>
      </c>
      <c r="D233" s="15">
        <v>25</v>
      </c>
      <c r="E233" s="15">
        <v>76</v>
      </c>
      <c r="F233" s="15">
        <v>2</v>
      </c>
      <c r="G233" s="16">
        <v>0</v>
      </c>
      <c r="H233" s="16">
        <v>0</v>
      </c>
      <c r="I233" s="15" t="s">
        <v>21</v>
      </c>
      <c r="J233" s="16">
        <v>0</v>
      </c>
      <c r="K233" s="16">
        <v>0</v>
      </c>
      <c r="L233" s="15">
        <v>2</v>
      </c>
      <c r="M233" s="15">
        <v>-1</v>
      </c>
      <c r="N233" s="17">
        <v>49.1665120978884</v>
      </c>
      <c r="O233" s="16">
        <v>300</v>
      </c>
      <c r="P233" s="16">
        <v>0.19</v>
      </c>
      <c r="Q233" s="24">
        <v>4.8699999999999998E-5</v>
      </c>
      <c r="R233" s="18">
        <v>600</v>
      </c>
      <c r="S233" s="16">
        <v>5.98</v>
      </c>
      <c r="T233" s="16">
        <v>0</v>
      </c>
      <c r="U233" s="16">
        <v>0</v>
      </c>
      <c r="V233" s="16">
        <v>0</v>
      </c>
      <c r="W233" s="18">
        <v>0</v>
      </c>
      <c r="X233" s="18">
        <v>4.07</v>
      </c>
      <c r="Y233" s="16">
        <v>0</v>
      </c>
      <c r="Z233" s="18">
        <v>0.2</v>
      </c>
      <c r="AA233" s="18">
        <v>0.1</v>
      </c>
      <c r="AB233" s="18">
        <v>5.0000000000000001E-3</v>
      </c>
      <c r="AC233" s="18">
        <v>5.0000000000000001E-3</v>
      </c>
      <c r="AD233" s="18">
        <v>1E-3</v>
      </c>
    </row>
    <row r="234" spans="1:30" x14ac:dyDescent="0.3">
      <c r="A234" s="15" t="s">
        <v>187</v>
      </c>
      <c r="B234" s="15" t="s">
        <v>139</v>
      </c>
      <c r="C234" s="15" t="s">
        <v>9</v>
      </c>
      <c r="D234" s="15">
        <v>25</v>
      </c>
      <c r="E234" s="15">
        <v>76</v>
      </c>
      <c r="F234" s="15">
        <v>2</v>
      </c>
      <c r="G234" s="16">
        <v>950</v>
      </c>
      <c r="H234" s="16">
        <v>1</v>
      </c>
      <c r="I234" s="15" t="s">
        <v>21</v>
      </c>
      <c r="J234" s="16">
        <v>600</v>
      </c>
      <c r="K234" s="16">
        <v>24</v>
      </c>
      <c r="L234" s="15">
        <v>2</v>
      </c>
      <c r="M234" s="15">
        <v>-1</v>
      </c>
      <c r="N234" s="17">
        <v>139.57653235919506</v>
      </c>
      <c r="O234" s="16">
        <v>319</v>
      </c>
      <c r="P234" s="16">
        <v>0.25</v>
      </c>
      <c r="Q234" s="24">
        <v>6.0999999999999999E-5</v>
      </c>
      <c r="R234" s="18">
        <v>600</v>
      </c>
      <c r="S234" s="16">
        <v>6.33</v>
      </c>
      <c r="T234" s="16">
        <v>0</v>
      </c>
      <c r="U234" s="16">
        <v>0</v>
      </c>
      <c r="V234" s="16">
        <v>0</v>
      </c>
      <c r="W234" s="18">
        <v>0</v>
      </c>
      <c r="X234" s="18">
        <v>4</v>
      </c>
      <c r="Y234" s="16">
        <v>0</v>
      </c>
      <c r="Z234" s="18">
        <v>0.2</v>
      </c>
      <c r="AA234" s="18">
        <v>0.17</v>
      </c>
      <c r="AB234" s="18">
        <v>0.03</v>
      </c>
      <c r="AC234" s="18">
        <v>0.01</v>
      </c>
      <c r="AD234" s="18">
        <v>4.0000000000000001E-3</v>
      </c>
    </row>
    <row r="235" spans="1:30" x14ac:dyDescent="0.3">
      <c r="A235" s="15" t="s">
        <v>188</v>
      </c>
      <c r="B235" s="15" t="s">
        <v>139</v>
      </c>
      <c r="C235" s="15" t="s">
        <v>9</v>
      </c>
      <c r="D235" s="15">
        <v>25</v>
      </c>
      <c r="E235" s="15">
        <v>76</v>
      </c>
      <c r="F235" s="15">
        <v>2</v>
      </c>
      <c r="G235" s="16">
        <v>0</v>
      </c>
      <c r="H235" s="16">
        <v>0</v>
      </c>
      <c r="I235" s="15" t="s">
        <v>21</v>
      </c>
      <c r="J235" s="16">
        <v>0</v>
      </c>
      <c r="K235" s="16">
        <v>0</v>
      </c>
      <c r="L235" s="15">
        <v>2</v>
      </c>
      <c r="M235" s="15">
        <v>-1</v>
      </c>
      <c r="N235" s="17">
        <v>45.820406641882876</v>
      </c>
      <c r="O235" s="16">
        <v>465</v>
      </c>
      <c r="P235" s="16">
        <v>0.3</v>
      </c>
      <c r="Q235" s="24">
        <v>1.19E-5</v>
      </c>
      <c r="R235" s="18">
        <v>500</v>
      </c>
      <c r="S235" s="16">
        <v>6.61</v>
      </c>
      <c r="T235" s="16">
        <v>0</v>
      </c>
      <c r="U235" s="16">
        <v>0</v>
      </c>
      <c r="V235" s="16">
        <v>0</v>
      </c>
      <c r="W235" s="18">
        <v>0</v>
      </c>
      <c r="X235" s="18">
        <v>4.2300000000000004</v>
      </c>
      <c r="Y235" s="16">
        <v>0</v>
      </c>
      <c r="Z235" s="18">
        <v>1.18</v>
      </c>
      <c r="AA235" s="18">
        <v>0.13</v>
      </c>
      <c r="AB235" s="18">
        <v>2.5999999999999999E-2</v>
      </c>
      <c r="AC235" s="18">
        <v>1.0999999999999999E-2</v>
      </c>
      <c r="AD235" s="18">
        <v>3.0000000000000001E-3</v>
      </c>
    </row>
    <row r="236" spans="1:30" x14ac:dyDescent="0.3">
      <c r="A236" s="15" t="s">
        <v>189</v>
      </c>
      <c r="B236" s="15" t="s">
        <v>139</v>
      </c>
      <c r="C236" s="15" t="s">
        <v>9</v>
      </c>
      <c r="D236" s="15">
        <v>25</v>
      </c>
      <c r="E236" s="15">
        <v>76</v>
      </c>
      <c r="F236" s="15">
        <v>2</v>
      </c>
      <c r="G236" s="16">
        <v>0</v>
      </c>
      <c r="H236" s="16">
        <v>0</v>
      </c>
      <c r="I236" s="15" t="s">
        <v>21</v>
      </c>
      <c r="J236" s="16">
        <v>720</v>
      </c>
      <c r="K236" s="16">
        <v>2</v>
      </c>
      <c r="L236" s="15">
        <v>2</v>
      </c>
      <c r="M236" s="15">
        <v>-1</v>
      </c>
      <c r="N236" s="17">
        <v>88.15841392083226</v>
      </c>
      <c r="O236" s="16">
        <v>310</v>
      </c>
      <c r="P236" s="16">
        <v>0.3</v>
      </c>
      <c r="Q236" s="24">
        <v>5.4599999999999999E-5</v>
      </c>
      <c r="R236" s="18">
        <v>650</v>
      </c>
      <c r="S236" s="16">
        <v>5.9</v>
      </c>
      <c r="T236" s="16">
        <v>0</v>
      </c>
      <c r="U236" s="16">
        <v>0</v>
      </c>
      <c r="V236" s="16">
        <v>0</v>
      </c>
      <c r="W236" s="18">
        <v>0</v>
      </c>
      <c r="X236" s="18">
        <v>3.9</v>
      </c>
      <c r="Y236" s="16">
        <v>0</v>
      </c>
      <c r="Z236" s="18">
        <v>0.17</v>
      </c>
      <c r="AA236" s="18">
        <v>0.246</v>
      </c>
      <c r="AB236" s="18">
        <v>2.9000000000000001E-2</v>
      </c>
      <c r="AC236" s="18">
        <v>3.0999999999999999E-3</v>
      </c>
      <c r="AD236" s="18">
        <v>3.0999999999999999E-3</v>
      </c>
    </row>
    <row r="237" spans="1:30" x14ac:dyDescent="0.3">
      <c r="A237" s="15" t="s">
        <v>190</v>
      </c>
      <c r="B237" s="15" t="s">
        <v>139</v>
      </c>
      <c r="C237" s="15" t="s">
        <v>9</v>
      </c>
      <c r="D237" s="15">
        <v>25</v>
      </c>
      <c r="E237" s="15">
        <v>76</v>
      </c>
      <c r="F237" s="15">
        <v>2</v>
      </c>
      <c r="G237" s="16">
        <v>0</v>
      </c>
      <c r="H237" s="16">
        <v>0</v>
      </c>
      <c r="I237" s="15" t="s">
        <v>21</v>
      </c>
      <c r="J237" s="16">
        <v>0</v>
      </c>
      <c r="K237" s="16">
        <v>0</v>
      </c>
      <c r="L237" s="15">
        <v>2</v>
      </c>
      <c r="M237" s="15">
        <v>-1</v>
      </c>
      <c r="N237" s="17">
        <v>45.820406641882876</v>
      </c>
      <c r="O237" s="16">
        <v>42</v>
      </c>
      <c r="P237" s="16">
        <v>0.32500000000000001</v>
      </c>
      <c r="Q237" s="24">
        <v>1.785E-5</v>
      </c>
      <c r="R237" s="18">
        <v>700</v>
      </c>
      <c r="S237" s="16">
        <v>6.61</v>
      </c>
      <c r="T237" s="16">
        <v>0</v>
      </c>
      <c r="U237" s="16">
        <v>0</v>
      </c>
      <c r="V237" s="16">
        <v>0</v>
      </c>
      <c r="W237" s="18">
        <v>0</v>
      </c>
      <c r="X237" s="18">
        <v>4.2300000000000004</v>
      </c>
      <c r="Y237" s="16">
        <v>0</v>
      </c>
      <c r="Z237" s="18">
        <v>1.18</v>
      </c>
      <c r="AA237" s="18">
        <v>0.13</v>
      </c>
      <c r="AB237" s="18">
        <v>2.5999999999999999E-2</v>
      </c>
      <c r="AC237" s="18">
        <v>1.0999999999999999E-2</v>
      </c>
      <c r="AD237" s="18">
        <v>3.0000000000000001E-3</v>
      </c>
    </row>
    <row r="238" spans="1:30" x14ac:dyDescent="0.3">
      <c r="A238" s="15" t="s">
        <v>191</v>
      </c>
      <c r="B238" s="15" t="s">
        <v>139</v>
      </c>
      <c r="C238" s="15" t="s">
        <v>9</v>
      </c>
      <c r="D238" s="15">
        <v>25</v>
      </c>
      <c r="E238" s="15">
        <v>76</v>
      </c>
      <c r="F238" s="15">
        <v>2</v>
      </c>
      <c r="G238" s="16">
        <v>0</v>
      </c>
      <c r="H238" s="16">
        <v>0</v>
      </c>
      <c r="I238" s="15" t="s">
        <v>21</v>
      </c>
      <c r="J238" s="16">
        <v>0</v>
      </c>
      <c r="K238" s="16">
        <v>0</v>
      </c>
      <c r="L238" s="15">
        <v>2</v>
      </c>
      <c r="M238" s="15">
        <v>-1</v>
      </c>
      <c r="N238" s="17">
        <v>45.820406641882876</v>
      </c>
      <c r="O238" s="16">
        <v>278</v>
      </c>
      <c r="P238" s="16">
        <v>0.34</v>
      </c>
      <c r="Q238" s="24">
        <v>3.3699999999999999E-5</v>
      </c>
      <c r="R238" s="18">
        <v>600</v>
      </c>
      <c r="S238" s="16">
        <v>5.98</v>
      </c>
      <c r="T238" s="16">
        <v>0</v>
      </c>
      <c r="U238" s="16">
        <v>0</v>
      </c>
      <c r="V238" s="16">
        <v>0</v>
      </c>
      <c r="W238" s="18">
        <v>0</v>
      </c>
      <c r="X238" s="18">
        <v>4.07</v>
      </c>
      <c r="Y238" s="16">
        <v>0</v>
      </c>
      <c r="Z238" s="18">
        <v>0.2</v>
      </c>
      <c r="AA238" s="18">
        <v>0.1</v>
      </c>
      <c r="AB238" s="18">
        <v>5.0000000000000001E-3</v>
      </c>
      <c r="AC238" s="18">
        <v>5.0000000000000001E-3</v>
      </c>
      <c r="AD238" s="18">
        <v>1E-3</v>
      </c>
    </row>
    <row r="239" spans="1:30" x14ac:dyDescent="0.3">
      <c r="A239" s="15" t="s">
        <v>192</v>
      </c>
      <c r="B239" s="15" t="s">
        <v>139</v>
      </c>
      <c r="C239" s="15" t="s">
        <v>9</v>
      </c>
      <c r="D239" s="15">
        <v>25</v>
      </c>
      <c r="E239" s="15">
        <v>76</v>
      </c>
      <c r="F239" s="15">
        <v>2</v>
      </c>
      <c r="G239" s="16">
        <v>800</v>
      </c>
      <c r="H239" s="16">
        <v>0.67</v>
      </c>
      <c r="I239" s="15" t="s">
        <v>21</v>
      </c>
      <c r="J239" s="16">
        <v>800</v>
      </c>
      <c r="K239" s="16">
        <v>0.66</v>
      </c>
      <c r="L239" s="15">
        <v>2</v>
      </c>
      <c r="M239" s="15">
        <v>-1</v>
      </c>
      <c r="N239" s="17">
        <v>115.28679753295121</v>
      </c>
      <c r="O239" s="16">
        <v>126</v>
      </c>
      <c r="P239" s="16">
        <v>0.34</v>
      </c>
      <c r="Q239" s="24">
        <v>1.1E-4</v>
      </c>
      <c r="R239" s="18">
        <v>700</v>
      </c>
      <c r="S239" s="16">
        <v>5.79</v>
      </c>
      <c r="T239" s="16">
        <v>0</v>
      </c>
      <c r="U239" s="16">
        <v>0</v>
      </c>
      <c r="V239" s="16">
        <v>0</v>
      </c>
      <c r="W239" s="18">
        <v>0</v>
      </c>
      <c r="X239" s="18">
        <v>3.86</v>
      </c>
      <c r="Y239" s="16">
        <v>0.15</v>
      </c>
      <c r="Z239" s="18">
        <v>7.0000000000000007E-2</v>
      </c>
      <c r="AA239" s="18">
        <v>0.12</v>
      </c>
      <c r="AB239" s="18">
        <v>0.03</v>
      </c>
      <c r="AC239" s="18">
        <v>0</v>
      </c>
      <c r="AD239" s="18">
        <v>0</v>
      </c>
    </row>
    <row r="240" spans="1:30" x14ac:dyDescent="0.3">
      <c r="A240" s="15" t="s">
        <v>193</v>
      </c>
      <c r="B240" s="15" t="s">
        <v>139</v>
      </c>
      <c r="C240" s="15" t="s">
        <v>9</v>
      </c>
      <c r="D240" s="15">
        <v>25</v>
      </c>
      <c r="E240" s="15">
        <v>76</v>
      </c>
      <c r="F240" s="15">
        <v>2</v>
      </c>
      <c r="G240" s="16">
        <v>0</v>
      </c>
      <c r="H240" s="16">
        <v>0</v>
      </c>
      <c r="I240" s="15" t="s">
        <v>21</v>
      </c>
      <c r="J240" s="16">
        <v>0</v>
      </c>
      <c r="K240" s="16">
        <v>0</v>
      </c>
      <c r="L240" s="15">
        <v>2</v>
      </c>
      <c r="M240" s="15">
        <v>-1</v>
      </c>
      <c r="N240" s="17">
        <v>45.820406641882876</v>
      </c>
      <c r="O240" s="19">
        <v>250</v>
      </c>
      <c r="P240" s="19">
        <v>0.35</v>
      </c>
      <c r="Q240" s="25">
        <v>1.11E-4</v>
      </c>
      <c r="R240" s="19">
        <v>600</v>
      </c>
      <c r="S240" s="16">
        <v>6</v>
      </c>
      <c r="T240" s="16">
        <v>0</v>
      </c>
      <c r="U240" s="16">
        <v>0</v>
      </c>
      <c r="V240" s="16">
        <v>0</v>
      </c>
      <c r="W240" s="18">
        <v>0</v>
      </c>
      <c r="X240" s="18">
        <v>4</v>
      </c>
      <c r="Y240" s="16">
        <v>0</v>
      </c>
      <c r="Z240" s="18">
        <v>0.4</v>
      </c>
      <c r="AA240" s="18">
        <v>0.2</v>
      </c>
      <c r="AB240" s="18">
        <v>0.08</v>
      </c>
      <c r="AC240" s="18">
        <v>0.05</v>
      </c>
      <c r="AD240" s="18">
        <v>1.4999999999999999E-2</v>
      </c>
    </row>
    <row r="241" spans="1:30" x14ac:dyDescent="0.3">
      <c r="A241" s="15" t="s">
        <v>194</v>
      </c>
      <c r="B241" s="15" t="s">
        <v>139</v>
      </c>
      <c r="C241" s="15" t="s">
        <v>9</v>
      </c>
      <c r="D241" s="15">
        <v>25</v>
      </c>
      <c r="E241" s="15">
        <v>76</v>
      </c>
      <c r="F241" s="15">
        <v>2</v>
      </c>
      <c r="G241" s="16">
        <v>0</v>
      </c>
      <c r="H241" s="16">
        <v>0</v>
      </c>
      <c r="I241" s="15" t="s">
        <v>21</v>
      </c>
      <c r="J241" s="16">
        <v>950</v>
      </c>
      <c r="K241" s="16">
        <v>1</v>
      </c>
      <c r="L241" s="15">
        <v>2</v>
      </c>
      <c r="M241" s="15">
        <v>-1</v>
      </c>
      <c r="N241" s="17">
        <v>89.413225635519211</v>
      </c>
      <c r="O241" s="16">
        <v>520</v>
      </c>
      <c r="P241" s="16">
        <v>0.36</v>
      </c>
      <c r="Q241" s="24">
        <v>4.4299999999999999E-5</v>
      </c>
      <c r="R241" s="18">
        <v>500</v>
      </c>
      <c r="S241" s="16">
        <v>6.61</v>
      </c>
      <c r="T241" s="16">
        <v>0</v>
      </c>
      <c r="U241" s="16">
        <v>0</v>
      </c>
      <c r="V241" s="16">
        <v>0</v>
      </c>
      <c r="W241" s="18">
        <v>0</v>
      </c>
      <c r="X241" s="18">
        <v>4.2300000000000004</v>
      </c>
      <c r="Y241" s="16">
        <v>0</v>
      </c>
      <c r="Z241" s="18">
        <v>1.18</v>
      </c>
      <c r="AA241" s="18">
        <v>0.13</v>
      </c>
      <c r="AB241" s="18">
        <v>2.5999999999999999E-2</v>
      </c>
      <c r="AC241" s="18">
        <v>1.0999999999999999E-2</v>
      </c>
      <c r="AD241" s="18">
        <v>3.0000000000000001E-3</v>
      </c>
    </row>
    <row r="242" spans="1:30" x14ac:dyDescent="0.3">
      <c r="A242" s="15" t="s">
        <v>195</v>
      </c>
      <c r="B242" s="15" t="s">
        <v>139</v>
      </c>
      <c r="C242" s="15" t="s">
        <v>9</v>
      </c>
      <c r="D242" s="15">
        <v>25</v>
      </c>
      <c r="E242" s="15">
        <v>76</v>
      </c>
      <c r="F242" s="15">
        <v>2</v>
      </c>
      <c r="G242" s="16">
        <v>0</v>
      </c>
      <c r="H242" s="16">
        <v>0</v>
      </c>
      <c r="I242" s="15" t="s">
        <v>21</v>
      </c>
      <c r="J242" s="16">
        <v>0</v>
      </c>
      <c r="K242" s="16">
        <v>0</v>
      </c>
      <c r="L242" s="15">
        <v>2</v>
      </c>
      <c r="M242" s="15">
        <v>-1</v>
      </c>
      <c r="N242" s="17">
        <v>45.820406641882876</v>
      </c>
      <c r="O242" s="16">
        <v>520</v>
      </c>
      <c r="P242" s="16">
        <v>0.36</v>
      </c>
      <c r="Q242" s="24">
        <v>4.4299999999999999E-5</v>
      </c>
      <c r="R242" s="18">
        <v>500</v>
      </c>
      <c r="S242" s="16">
        <v>6.61</v>
      </c>
      <c r="T242" s="16">
        <v>0</v>
      </c>
      <c r="U242" s="16">
        <v>0</v>
      </c>
      <c r="V242" s="16">
        <v>0</v>
      </c>
      <c r="W242" s="18">
        <v>0</v>
      </c>
      <c r="X242" s="18">
        <v>4.2300000000000004</v>
      </c>
      <c r="Y242" s="16">
        <v>0</v>
      </c>
      <c r="Z242" s="18">
        <v>1.18</v>
      </c>
      <c r="AA242" s="18">
        <v>0.13</v>
      </c>
      <c r="AB242" s="18">
        <v>2.5999999999999999E-2</v>
      </c>
      <c r="AC242" s="18">
        <v>1.0999999999999999E-2</v>
      </c>
      <c r="AD242" s="18">
        <v>3.0000000000000001E-3</v>
      </c>
    </row>
    <row r="243" spans="1:30" x14ac:dyDescent="0.3">
      <c r="A243" s="15" t="s">
        <v>196</v>
      </c>
      <c r="B243" s="15" t="s">
        <v>139</v>
      </c>
      <c r="C243" s="15" t="s">
        <v>9</v>
      </c>
      <c r="D243" s="15">
        <v>25</v>
      </c>
      <c r="E243" s="15">
        <v>76</v>
      </c>
      <c r="F243" s="15">
        <v>2</v>
      </c>
      <c r="G243" s="16">
        <v>0</v>
      </c>
      <c r="H243" s="16">
        <v>0</v>
      </c>
      <c r="I243" s="15" t="s">
        <v>21</v>
      </c>
      <c r="J243" s="16">
        <v>950</v>
      </c>
      <c r="K243" s="16">
        <v>1</v>
      </c>
      <c r="L243" s="15">
        <v>2</v>
      </c>
      <c r="M243" s="15">
        <v>-1</v>
      </c>
      <c r="N243" s="17">
        <v>89.413225635519211</v>
      </c>
      <c r="O243" s="16">
        <v>291</v>
      </c>
      <c r="P243" s="16">
        <v>0.37</v>
      </c>
      <c r="Q243" s="24">
        <v>7.7999999999999999E-5</v>
      </c>
      <c r="R243" s="18">
        <v>600</v>
      </c>
      <c r="S243" s="16">
        <v>6.61</v>
      </c>
      <c r="T243" s="16">
        <v>0</v>
      </c>
      <c r="U243" s="16">
        <v>0</v>
      </c>
      <c r="V243" s="16">
        <v>0</v>
      </c>
      <c r="W243" s="18">
        <v>0</v>
      </c>
      <c r="X243" s="18">
        <v>4.2300000000000004</v>
      </c>
      <c r="Y243" s="16">
        <v>0</v>
      </c>
      <c r="Z243" s="18">
        <v>1.18</v>
      </c>
      <c r="AA243" s="18">
        <v>0.13</v>
      </c>
      <c r="AB243" s="18">
        <v>2.5999999999999999E-2</v>
      </c>
      <c r="AC243" s="18">
        <v>1.0999999999999999E-2</v>
      </c>
      <c r="AD243" s="18">
        <v>3.0000000000000001E-3</v>
      </c>
    </row>
    <row r="244" spans="1:30" x14ac:dyDescent="0.3">
      <c r="A244" s="15" t="s">
        <v>197</v>
      </c>
      <c r="B244" s="15" t="s">
        <v>139</v>
      </c>
      <c r="C244" s="15" t="s">
        <v>9</v>
      </c>
      <c r="D244" s="15">
        <v>25</v>
      </c>
      <c r="E244" s="15">
        <v>76</v>
      </c>
      <c r="F244" s="15">
        <v>2</v>
      </c>
      <c r="G244" s="16">
        <v>0</v>
      </c>
      <c r="H244" s="16">
        <v>0</v>
      </c>
      <c r="I244" s="15" t="s">
        <v>21</v>
      </c>
      <c r="J244" s="16">
        <v>0</v>
      </c>
      <c r="K244" s="16">
        <v>0</v>
      </c>
      <c r="L244" s="15">
        <v>2</v>
      </c>
      <c r="M244" s="15">
        <v>-1</v>
      </c>
      <c r="N244" s="17">
        <v>45.820406641882876</v>
      </c>
      <c r="O244" s="16">
        <v>125</v>
      </c>
      <c r="P244" s="16">
        <v>0.49</v>
      </c>
      <c r="Q244" s="24">
        <v>1.2799999999999999E-4</v>
      </c>
      <c r="R244" s="18">
        <v>700</v>
      </c>
      <c r="S244" s="16">
        <v>6.61</v>
      </c>
      <c r="T244" s="16">
        <v>0</v>
      </c>
      <c r="U244" s="16">
        <v>0</v>
      </c>
      <c r="V244" s="16">
        <v>0</v>
      </c>
      <c r="W244" s="18">
        <v>0</v>
      </c>
      <c r="X244" s="18">
        <v>4.2300000000000004</v>
      </c>
      <c r="Y244" s="16">
        <v>0</v>
      </c>
      <c r="Z244" s="18">
        <v>1.18</v>
      </c>
      <c r="AA244" s="18">
        <v>0.13</v>
      </c>
      <c r="AB244" s="18">
        <v>2.5999999999999999E-2</v>
      </c>
      <c r="AC244" s="18">
        <v>1.0999999999999999E-2</v>
      </c>
      <c r="AD244" s="18">
        <v>3.0000000000000001E-3</v>
      </c>
    </row>
    <row r="245" spans="1:30" x14ac:dyDescent="0.3">
      <c r="A245" s="15" t="s">
        <v>198</v>
      </c>
      <c r="B245" s="15" t="s">
        <v>139</v>
      </c>
      <c r="C245" s="15" t="s">
        <v>9</v>
      </c>
      <c r="D245" s="15">
        <v>25</v>
      </c>
      <c r="E245" s="15">
        <v>76</v>
      </c>
      <c r="F245" s="15">
        <v>2</v>
      </c>
      <c r="G245" s="16">
        <v>0</v>
      </c>
      <c r="H245" s="16">
        <v>0</v>
      </c>
      <c r="I245" s="15" t="s">
        <v>21</v>
      </c>
      <c r="J245" s="16">
        <v>1050</v>
      </c>
      <c r="K245" s="16">
        <v>0.5</v>
      </c>
      <c r="L245" s="15">
        <v>2</v>
      </c>
      <c r="M245" s="15">
        <v>-1</v>
      </c>
      <c r="N245" s="17">
        <v>87.905294282901764</v>
      </c>
      <c r="O245" s="16">
        <v>319</v>
      </c>
      <c r="P245" s="16">
        <v>0.56000000000000005</v>
      </c>
      <c r="Q245" s="24">
        <v>5.5300000000000002E-5</v>
      </c>
      <c r="R245" s="18">
        <v>600</v>
      </c>
      <c r="S245" s="16">
        <v>6.33</v>
      </c>
      <c r="T245" s="16">
        <v>0</v>
      </c>
      <c r="U245" s="16">
        <v>0</v>
      </c>
      <c r="V245" s="16">
        <v>0</v>
      </c>
      <c r="W245" s="18">
        <v>0</v>
      </c>
      <c r="X245" s="18">
        <v>4</v>
      </c>
      <c r="Y245" s="16">
        <v>0</v>
      </c>
      <c r="Z245" s="18">
        <v>0.2</v>
      </c>
      <c r="AA245" s="18">
        <v>0.17</v>
      </c>
      <c r="AB245" s="18">
        <v>0.03</v>
      </c>
      <c r="AC245" s="18">
        <v>0.01</v>
      </c>
      <c r="AD245" s="18">
        <v>4.0000000000000001E-3</v>
      </c>
    </row>
    <row r="246" spans="1:30" x14ac:dyDescent="0.3">
      <c r="A246" s="15" t="s">
        <v>199</v>
      </c>
      <c r="B246" s="15" t="s">
        <v>139</v>
      </c>
      <c r="C246" s="15" t="s">
        <v>9</v>
      </c>
      <c r="D246" s="15">
        <v>25</v>
      </c>
      <c r="E246" s="15">
        <v>76</v>
      </c>
      <c r="F246" s="15">
        <v>2</v>
      </c>
      <c r="G246" s="16">
        <v>0</v>
      </c>
      <c r="H246" s="16">
        <v>0</v>
      </c>
      <c r="I246" s="15" t="s">
        <v>21</v>
      </c>
      <c r="J246" s="16">
        <v>190</v>
      </c>
      <c r="K246" s="16">
        <v>6</v>
      </c>
      <c r="L246" s="15">
        <v>2</v>
      </c>
      <c r="M246" s="15">
        <v>-1</v>
      </c>
      <c r="N246" s="17">
        <v>86.671644649246545</v>
      </c>
      <c r="O246" s="16">
        <v>250</v>
      </c>
      <c r="P246" s="16">
        <v>0.62</v>
      </c>
      <c r="Q246" s="24">
        <v>5.38E-5</v>
      </c>
      <c r="R246" s="18">
        <v>600</v>
      </c>
      <c r="S246" s="16">
        <v>6.33</v>
      </c>
      <c r="T246" s="16">
        <v>0</v>
      </c>
      <c r="U246" s="16">
        <v>0</v>
      </c>
      <c r="V246" s="16">
        <v>0</v>
      </c>
      <c r="W246" s="18">
        <v>0</v>
      </c>
      <c r="X246" s="18">
        <v>4</v>
      </c>
      <c r="Y246" s="16">
        <v>0</v>
      </c>
      <c r="Z246" s="18">
        <v>0.2</v>
      </c>
      <c r="AA246" s="18">
        <v>0.17</v>
      </c>
      <c r="AB246" s="18">
        <v>0.03</v>
      </c>
      <c r="AC246" s="18">
        <v>0.01</v>
      </c>
      <c r="AD246" s="18">
        <v>4.0000000000000001E-3</v>
      </c>
    </row>
    <row r="247" spans="1:30" x14ac:dyDescent="0.3">
      <c r="A247" s="15" t="s">
        <v>200</v>
      </c>
      <c r="B247" s="15" t="s">
        <v>139</v>
      </c>
      <c r="C247" s="15" t="s">
        <v>9</v>
      </c>
      <c r="D247" s="15">
        <v>25</v>
      </c>
      <c r="E247" s="15">
        <v>76</v>
      </c>
      <c r="F247" s="15">
        <v>2</v>
      </c>
      <c r="G247" s="16">
        <v>0</v>
      </c>
      <c r="H247" s="16">
        <v>0</v>
      </c>
      <c r="I247" s="15" t="s">
        <v>21</v>
      </c>
      <c r="J247" s="16">
        <v>0</v>
      </c>
      <c r="K247" s="16">
        <v>0</v>
      </c>
      <c r="L247" s="15">
        <v>2</v>
      </c>
      <c r="M247" s="15">
        <v>-1</v>
      </c>
      <c r="N247" s="17">
        <v>45.047657115469313</v>
      </c>
      <c r="O247" s="16">
        <v>250</v>
      </c>
      <c r="P247" s="16">
        <v>0.62</v>
      </c>
      <c r="Q247" s="24">
        <v>4.4299999999999999E-5</v>
      </c>
      <c r="R247" s="18">
        <v>600</v>
      </c>
      <c r="S247" s="16">
        <v>6.61</v>
      </c>
      <c r="T247" s="16">
        <v>0</v>
      </c>
      <c r="U247" s="16">
        <v>0</v>
      </c>
      <c r="V247" s="16">
        <v>0</v>
      </c>
      <c r="W247" s="18">
        <v>0</v>
      </c>
      <c r="X247" s="18">
        <v>4.2300000000000004</v>
      </c>
      <c r="Y247" s="16">
        <v>0</v>
      </c>
      <c r="Z247" s="18">
        <v>1.18</v>
      </c>
      <c r="AA247" s="18">
        <v>0.13</v>
      </c>
      <c r="AB247" s="18">
        <v>2.5999999999999999E-2</v>
      </c>
      <c r="AC247" s="18">
        <v>1.0999999999999999E-2</v>
      </c>
      <c r="AD247" s="18">
        <v>3.0000000000000001E-3</v>
      </c>
    </row>
    <row r="248" spans="1:30" x14ac:dyDescent="0.3">
      <c r="A248" s="15" t="s">
        <v>201</v>
      </c>
      <c r="B248" s="15" t="s">
        <v>139</v>
      </c>
      <c r="C248" s="15" t="s">
        <v>9</v>
      </c>
      <c r="D248" s="15">
        <v>25</v>
      </c>
      <c r="E248" s="15">
        <v>76</v>
      </c>
      <c r="F248" s="15">
        <v>2</v>
      </c>
      <c r="G248" s="16">
        <v>690</v>
      </c>
      <c r="H248" s="16">
        <v>4</v>
      </c>
      <c r="I248" s="15" t="s">
        <v>21</v>
      </c>
      <c r="J248" s="16">
        <v>1050</v>
      </c>
      <c r="K248" s="16">
        <v>0.5</v>
      </c>
      <c r="L248" s="15">
        <v>2</v>
      </c>
      <c r="M248" s="15">
        <v>-1</v>
      </c>
      <c r="N248" s="17">
        <v>117.32113482430202</v>
      </c>
      <c r="O248" s="16">
        <v>319</v>
      </c>
      <c r="P248" s="16">
        <v>0.62</v>
      </c>
      <c r="Q248" s="24">
        <v>4.4400000000000002E-5</v>
      </c>
      <c r="R248" s="18">
        <v>600</v>
      </c>
      <c r="S248" s="16">
        <v>6.75</v>
      </c>
      <c r="T248" s="16">
        <v>0</v>
      </c>
      <c r="U248" s="16">
        <v>0</v>
      </c>
      <c r="V248" s="16">
        <v>0</v>
      </c>
      <c r="W248" s="18">
        <v>0</v>
      </c>
      <c r="X248" s="18">
        <v>4.5</v>
      </c>
      <c r="Y248" s="16">
        <v>0</v>
      </c>
      <c r="Z248" s="18">
        <v>0.4</v>
      </c>
      <c r="AA248" s="18">
        <v>0.2</v>
      </c>
      <c r="AB248" s="18">
        <v>0.1</v>
      </c>
      <c r="AC248" s="18">
        <v>0.05</v>
      </c>
      <c r="AD248" s="18">
        <v>0.125</v>
      </c>
    </row>
    <row r="249" spans="1:30" x14ac:dyDescent="0.3">
      <c r="A249" s="15" t="s">
        <v>202</v>
      </c>
      <c r="B249" s="15" t="s">
        <v>139</v>
      </c>
      <c r="C249" s="15" t="s">
        <v>9</v>
      </c>
      <c r="D249" s="15">
        <v>25</v>
      </c>
      <c r="E249" s="15">
        <v>76</v>
      </c>
      <c r="F249" s="15">
        <v>2</v>
      </c>
      <c r="G249" s="16">
        <v>0</v>
      </c>
      <c r="H249" s="16">
        <v>0</v>
      </c>
      <c r="I249" s="15" t="s">
        <v>21</v>
      </c>
      <c r="J249" s="16">
        <v>750</v>
      </c>
      <c r="K249" s="16">
        <v>1</v>
      </c>
      <c r="L249" s="15">
        <v>2</v>
      </c>
      <c r="M249" s="15">
        <v>-1</v>
      </c>
      <c r="N249" s="17">
        <v>87.905294282901764</v>
      </c>
      <c r="O249" s="16">
        <v>150</v>
      </c>
      <c r="P249" s="16">
        <v>0.68300000000000005</v>
      </c>
      <c r="Q249" s="24">
        <v>1.74E-4</v>
      </c>
      <c r="R249" s="18">
        <v>650</v>
      </c>
      <c r="S249" s="16">
        <v>5.98</v>
      </c>
      <c r="T249" s="16">
        <v>0</v>
      </c>
      <c r="U249" s="16">
        <v>0</v>
      </c>
      <c r="V249" s="16">
        <v>0</v>
      </c>
      <c r="W249" s="18">
        <v>0</v>
      </c>
      <c r="X249" s="18">
        <v>4.25</v>
      </c>
      <c r="Y249" s="16">
        <v>0.23</v>
      </c>
      <c r="Z249" s="18">
        <v>0.23</v>
      </c>
      <c r="AA249" s="18">
        <v>0</v>
      </c>
      <c r="AB249" s="18">
        <v>0</v>
      </c>
      <c r="AC249" s="18">
        <v>0</v>
      </c>
      <c r="AD249" s="18">
        <v>0.2</v>
      </c>
    </row>
    <row r="250" spans="1:30" x14ac:dyDescent="0.3">
      <c r="A250" s="15" t="s">
        <v>203</v>
      </c>
      <c r="B250" s="15" t="s">
        <v>139</v>
      </c>
      <c r="C250" s="15" t="s">
        <v>9</v>
      </c>
      <c r="D250" s="15">
        <v>25</v>
      </c>
      <c r="E250" s="15">
        <v>76</v>
      </c>
      <c r="F250" s="15">
        <v>2</v>
      </c>
      <c r="G250" s="16">
        <v>0</v>
      </c>
      <c r="H250" s="16">
        <v>0</v>
      </c>
      <c r="I250" s="15" t="s">
        <v>21</v>
      </c>
      <c r="J250" s="16">
        <v>720</v>
      </c>
      <c r="K250" s="16">
        <v>2</v>
      </c>
      <c r="L250" s="15">
        <v>2</v>
      </c>
      <c r="M250" s="15">
        <v>-1</v>
      </c>
      <c r="N250" s="17">
        <v>86.671644649246545</v>
      </c>
      <c r="O250" s="16">
        <v>241</v>
      </c>
      <c r="P250" s="16">
        <v>0.7</v>
      </c>
      <c r="Q250" s="24">
        <v>2.83E-5</v>
      </c>
      <c r="R250" s="18">
        <v>650</v>
      </c>
      <c r="S250" s="16">
        <v>5.9</v>
      </c>
      <c r="T250" s="16">
        <v>0</v>
      </c>
      <c r="U250" s="16">
        <v>0</v>
      </c>
      <c r="V250" s="16">
        <v>0</v>
      </c>
      <c r="W250" s="18">
        <v>0</v>
      </c>
      <c r="X250" s="18">
        <v>3.9</v>
      </c>
      <c r="Y250" s="16">
        <v>0</v>
      </c>
      <c r="Z250" s="18">
        <v>0.17</v>
      </c>
      <c r="AA250" s="18">
        <v>0.246</v>
      </c>
      <c r="AB250" s="18">
        <v>2.9000000000000001E-2</v>
      </c>
      <c r="AC250" s="18">
        <v>3.0999999999999999E-3</v>
      </c>
      <c r="AD250" s="18">
        <v>3.0999999999999999E-3</v>
      </c>
    </row>
    <row r="251" spans="1:30" x14ac:dyDescent="0.3">
      <c r="A251" s="15" t="s">
        <v>204</v>
      </c>
      <c r="B251" s="15" t="s">
        <v>139</v>
      </c>
      <c r="C251" s="15" t="s">
        <v>9</v>
      </c>
      <c r="D251" s="15">
        <v>25</v>
      </c>
      <c r="E251" s="15">
        <v>76</v>
      </c>
      <c r="F251" s="15">
        <v>2</v>
      </c>
      <c r="G251" s="16">
        <v>0</v>
      </c>
      <c r="H251" s="16">
        <v>0</v>
      </c>
      <c r="I251" s="15" t="s">
        <v>21</v>
      </c>
      <c r="J251" s="16">
        <v>0</v>
      </c>
      <c r="K251" s="16">
        <v>0</v>
      </c>
      <c r="L251" s="15">
        <v>2</v>
      </c>
      <c r="M251" s="15">
        <v>-1</v>
      </c>
      <c r="N251" s="17">
        <v>45.047657115469313</v>
      </c>
      <c r="O251" s="16">
        <v>250</v>
      </c>
      <c r="P251" s="16">
        <v>0.82</v>
      </c>
      <c r="Q251" s="24">
        <v>2.02E-5</v>
      </c>
      <c r="R251" s="18">
        <v>600</v>
      </c>
      <c r="S251" s="16">
        <v>5.98</v>
      </c>
      <c r="T251" s="16">
        <v>0</v>
      </c>
      <c r="U251" s="16">
        <v>0</v>
      </c>
      <c r="V251" s="16">
        <v>0</v>
      </c>
      <c r="W251" s="18">
        <v>0</v>
      </c>
      <c r="X251" s="18">
        <v>4.07</v>
      </c>
      <c r="Y251" s="16">
        <v>0</v>
      </c>
      <c r="Z251" s="18">
        <v>0.2</v>
      </c>
      <c r="AA251" s="18">
        <v>0.1</v>
      </c>
      <c r="AB251" s="18">
        <v>5.0000000000000001E-3</v>
      </c>
      <c r="AC251" s="18">
        <v>5.0000000000000001E-3</v>
      </c>
      <c r="AD251" s="18">
        <v>1E-3</v>
      </c>
    </row>
    <row r="252" spans="1:30" x14ac:dyDescent="0.3">
      <c r="A252" s="15" t="s">
        <v>205</v>
      </c>
      <c r="B252" s="15" t="s">
        <v>139</v>
      </c>
      <c r="C252" s="15" t="s">
        <v>9</v>
      </c>
      <c r="D252" s="15">
        <v>25</v>
      </c>
      <c r="E252" s="15">
        <v>76</v>
      </c>
      <c r="F252" s="15">
        <v>2</v>
      </c>
      <c r="G252" s="16">
        <v>0</v>
      </c>
      <c r="H252" s="16">
        <v>0</v>
      </c>
      <c r="I252" s="15" t="s">
        <v>21</v>
      </c>
      <c r="J252" s="16">
        <v>0</v>
      </c>
      <c r="K252" s="16">
        <v>0</v>
      </c>
      <c r="L252" s="15">
        <v>2</v>
      </c>
      <c r="M252" s="15">
        <v>-1</v>
      </c>
      <c r="N252" s="17">
        <v>45.047657115469313</v>
      </c>
      <c r="O252" s="16">
        <v>125</v>
      </c>
      <c r="P252" s="16">
        <v>0.83299999999999996</v>
      </c>
      <c r="Q252" s="24">
        <v>2.503E-6</v>
      </c>
      <c r="R252" s="18">
        <v>600</v>
      </c>
      <c r="S252" s="16">
        <v>6.61</v>
      </c>
      <c r="T252" s="16">
        <v>0</v>
      </c>
      <c r="U252" s="16">
        <v>0</v>
      </c>
      <c r="V252" s="16">
        <v>0</v>
      </c>
      <c r="W252" s="18">
        <v>0</v>
      </c>
      <c r="X252" s="18">
        <v>4.2300000000000004</v>
      </c>
      <c r="Y252" s="16">
        <v>0</v>
      </c>
      <c r="Z252" s="18">
        <v>1.18</v>
      </c>
      <c r="AA252" s="18">
        <v>0.13</v>
      </c>
      <c r="AB252" s="18">
        <v>2.5999999999999999E-2</v>
      </c>
      <c r="AC252" s="18">
        <v>1.0999999999999999E-2</v>
      </c>
      <c r="AD252" s="18">
        <v>3.0000000000000001E-3</v>
      </c>
    </row>
    <row r="253" spans="1:30" x14ac:dyDescent="0.3">
      <c r="A253" s="15" t="s">
        <v>206</v>
      </c>
      <c r="B253" s="15" t="s">
        <v>139</v>
      </c>
      <c r="C253" s="15" t="s">
        <v>9</v>
      </c>
      <c r="D253" s="15">
        <v>25</v>
      </c>
      <c r="E253" s="15">
        <v>76</v>
      </c>
      <c r="F253" s="15">
        <v>2</v>
      </c>
      <c r="G253" s="16">
        <v>0</v>
      </c>
      <c r="H253" s="16">
        <v>0</v>
      </c>
      <c r="I253" s="15" t="s">
        <v>21</v>
      </c>
      <c r="J253" s="16">
        <v>750</v>
      </c>
      <c r="K253" s="16">
        <v>1</v>
      </c>
      <c r="L253" s="15">
        <v>2</v>
      </c>
      <c r="M253" s="15">
        <v>-1</v>
      </c>
      <c r="N253" s="17">
        <v>87.905294282901764</v>
      </c>
      <c r="O253" s="16">
        <v>100</v>
      </c>
      <c r="P253" s="16">
        <v>0.873</v>
      </c>
      <c r="Q253" s="24">
        <v>1.18E-4</v>
      </c>
      <c r="R253" s="18">
        <v>650</v>
      </c>
      <c r="S253" s="16">
        <v>5.98</v>
      </c>
      <c r="T253" s="16">
        <v>0</v>
      </c>
      <c r="U253" s="16">
        <v>0</v>
      </c>
      <c r="V253" s="16">
        <v>0</v>
      </c>
      <c r="W253" s="18">
        <v>0</v>
      </c>
      <c r="X253" s="18">
        <v>4.25</v>
      </c>
      <c r="Y253" s="16">
        <v>0.23</v>
      </c>
      <c r="Z253" s="18">
        <v>0.23</v>
      </c>
      <c r="AA253" s="18">
        <v>0</v>
      </c>
      <c r="AB253" s="18">
        <v>0</v>
      </c>
      <c r="AC253" s="18">
        <v>0</v>
      </c>
      <c r="AD253" s="18">
        <v>0.4</v>
      </c>
    </row>
    <row r="254" spans="1:30" x14ac:dyDescent="0.3">
      <c r="A254" s="15" t="s">
        <v>207</v>
      </c>
      <c r="B254" s="15" t="s">
        <v>139</v>
      </c>
      <c r="C254" s="15" t="s">
        <v>9</v>
      </c>
      <c r="D254" s="15">
        <v>25</v>
      </c>
      <c r="E254" s="15">
        <v>76</v>
      </c>
      <c r="F254" s="15">
        <v>2</v>
      </c>
      <c r="G254" s="16">
        <v>800</v>
      </c>
      <c r="H254" s="16">
        <v>0.67</v>
      </c>
      <c r="I254" s="15" t="s">
        <v>21</v>
      </c>
      <c r="J254" s="16">
        <v>800</v>
      </c>
      <c r="K254" s="16">
        <v>0.66</v>
      </c>
      <c r="L254" s="15">
        <v>2</v>
      </c>
      <c r="M254" s="15">
        <v>-1</v>
      </c>
      <c r="N254" s="17">
        <v>112.19241329196831</v>
      </c>
      <c r="O254" s="16">
        <v>18</v>
      </c>
      <c r="P254" s="16">
        <v>1</v>
      </c>
      <c r="Q254" s="24">
        <v>2.6000000000000001E-6</v>
      </c>
      <c r="R254" s="18">
        <v>700</v>
      </c>
      <c r="S254" s="16">
        <v>5.79</v>
      </c>
      <c r="T254" s="16">
        <v>0</v>
      </c>
      <c r="U254" s="16">
        <v>0</v>
      </c>
      <c r="V254" s="16">
        <v>0</v>
      </c>
      <c r="W254" s="18">
        <v>0</v>
      </c>
      <c r="X254" s="18">
        <v>3.86</v>
      </c>
      <c r="Y254" s="16">
        <v>0.15</v>
      </c>
      <c r="Z254" s="18">
        <v>7.0000000000000007E-2</v>
      </c>
      <c r="AA254" s="18">
        <v>0.12</v>
      </c>
      <c r="AB254" s="18">
        <v>0.03</v>
      </c>
      <c r="AC254" s="18">
        <v>0</v>
      </c>
      <c r="AD254" s="18">
        <v>0</v>
      </c>
    </row>
    <row r="255" spans="1:30" x14ac:dyDescent="0.3">
      <c r="A255" s="15" t="s">
        <v>208</v>
      </c>
      <c r="B255" s="15" t="s">
        <v>139</v>
      </c>
      <c r="C255" s="15" t="s">
        <v>9</v>
      </c>
      <c r="D255" s="15">
        <v>25</v>
      </c>
      <c r="E255" s="15">
        <v>76</v>
      </c>
      <c r="F255" s="15">
        <v>2</v>
      </c>
      <c r="G255" s="16">
        <v>800</v>
      </c>
      <c r="H255" s="16">
        <v>0.67</v>
      </c>
      <c r="I255" s="15" t="s">
        <v>21</v>
      </c>
      <c r="J255" s="16">
        <v>800</v>
      </c>
      <c r="K255" s="16">
        <v>0.66</v>
      </c>
      <c r="L255" s="15">
        <v>2</v>
      </c>
      <c r="M255" s="15">
        <v>-1</v>
      </c>
      <c r="N255" s="17">
        <v>112.19241329196831</v>
      </c>
      <c r="O255" s="16">
        <v>45</v>
      </c>
      <c r="P255" s="16">
        <v>1</v>
      </c>
      <c r="Q255" s="24">
        <v>1.1E-5</v>
      </c>
      <c r="R255" s="18">
        <v>700</v>
      </c>
      <c r="S255" s="16">
        <v>5.79</v>
      </c>
      <c r="T255" s="16">
        <v>0</v>
      </c>
      <c r="U255" s="16">
        <v>0</v>
      </c>
      <c r="V255" s="16">
        <v>0</v>
      </c>
      <c r="W255" s="18">
        <v>0</v>
      </c>
      <c r="X255" s="18">
        <v>3.86</v>
      </c>
      <c r="Y255" s="16">
        <v>0.15</v>
      </c>
      <c r="Z255" s="18">
        <v>7.0000000000000007E-2</v>
      </c>
      <c r="AA255" s="18">
        <v>0.12</v>
      </c>
      <c r="AB255" s="18">
        <v>0.03</v>
      </c>
      <c r="AC255" s="18">
        <v>0</v>
      </c>
      <c r="AD255" s="18">
        <v>0</v>
      </c>
    </row>
    <row r="256" spans="1:30" x14ac:dyDescent="0.3">
      <c r="A256" s="15" t="s">
        <v>209</v>
      </c>
      <c r="B256" s="15" t="s">
        <v>139</v>
      </c>
      <c r="C256" s="15" t="s">
        <v>9</v>
      </c>
      <c r="D256" s="15">
        <v>25</v>
      </c>
      <c r="E256" s="15">
        <v>76</v>
      </c>
      <c r="F256" s="15">
        <v>2</v>
      </c>
      <c r="G256" s="16">
        <v>800</v>
      </c>
      <c r="H256" s="16">
        <v>0.67</v>
      </c>
      <c r="I256" s="15" t="s">
        <v>21</v>
      </c>
      <c r="J256" s="16">
        <v>800</v>
      </c>
      <c r="K256" s="16">
        <v>0.66</v>
      </c>
      <c r="L256" s="15">
        <v>2</v>
      </c>
      <c r="M256" s="15">
        <v>-1</v>
      </c>
      <c r="N256" s="17">
        <v>112.19241329196831</v>
      </c>
      <c r="O256" s="16">
        <v>81</v>
      </c>
      <c r="P256" s="16">
        <v>1</v>
      </c>
      <c r="Q256" s="24">
        <v>3.4999999999999997E-5</v>
      </c>
      <c r="R256" s="18">
        <v>700</v>
      </c>
      <c r="S256" s="16">
        <v>5.79</v>
      </c>
      <c r="T256" s="16">
        <v>0</v>
      </c>
      <c r="U256" s="16">
        <v>0</v>
      </c>
      <c r="V256" s="16">
        <v>0</v>
      </c>
      <c r="W256" s="18">
        <v>0</v>
      </c>
      <c r="X256" s="18">
        <v>3.86</v>
      </c>
      <c r="Y256" s="16">
        <v>0.15</v>
      </c>
      <c r="Z256" s="18">
        <v>7.0000000000000007E-2</v>
      </c>
      <c r="AA256" s="18">
        <v>0.12</v>
      </c>
      <c r="AB256" s="18">
        <v>0.03</v>
      </c>
      <c r="AC256" s="18">
        <v>0</v>
      </c>
      <c r="AD256" s="18">
        <v>0</v>
      </c>
    </row>
    <row r="257" spans="1:30" x14ac:dyDescent="0.3">
      <c r="A257" s="15" t="s">
        <v>210</v>
      </c>
      <c r="B257" s="15" t="s">
        <v>139</v>
      </c>
      <c r="C257" s="15" t="s">
        <v>9</v>
      </c>
      <c r="D257" s="15">
        <v>25</v>
      </c>
      <c r="E257" s="15">
        <v>76</v>
      </c>
      <c r="F257" s="15">
        <v>2</v>
      </c>
      <c r="G257" s="16">
        <v>950</v>
      </c>
      <c r="H257" s="16">
        <v>1</v>
      </c>
      <c r="I257" s="15" t="s">
        <v>21</v>
      </c>
      <c r="J257" s="16">
        <v>600</v>
      </c>
      <c r="K257" s="16">
        <v>24</v>
      </c>
      <c r="L257" s="15">
        <v>2</v>
      </c>
      <c r="M257" s="15">
        <v>-1</v>
      </c>
      <c r="N257" s="17">
        <v>126.58605277956492</v>
      </c>
      <c r="O257" s="16">
        <v>250</v>
      </c>
      <c r="P257" s="16">
        <v>1.23</v>
      </c>
      <c r="Q257" s="24">
        <v>2.2099999999999998E-5</v>
      </c>
      <c r="R257" s="18">
        <v>600</v>
      </c>
      <c r="S257" s="16">
        <v>6.33</v>
      </c>
      <c r="T257" s="16">
        <v>0</v>
      </c>
      <c r="U257" s="16">
        <v>0</v>
      </c>
      <c r="V257" s="16">
        <v>0</v>
      </c>
      <c r="W257" s="18">
        <v>0</v>
      </c>
      <c r="X257" s="18">
        <v>4</v>
      </c>
      <c r="Y257" s="16">
        <v>0</v>
      </c>
      <c r="Z257" s="18">
        <v>0.2</v>
      </c>
      <c r="AA257" s="18">
        <v>0.17</v>
      </c>
      <c r="AB257" s="18">
        <v>0.03</v>
      </c>
      <c r="AC257" s="18">
        <v>0.01</v>
      </c>
      <c r="AD257" s="18">
        <v>4.0000000000000001E-3</v>
      </c>
    </row>
    <row r="258" spans="1:30" x14ac:dyDescent="0.3">
      <c r="A258" s="15" t="s">
        <v>211</v>
      </c>
      <c r="B258" s="15" t="s">
        <v>139</v>
      </c>
      <c r="C258" s="15" t="s">
        <v>9</v>
      </c>
      <c r="D258" s="15">
        <v>25</v>
      </c>
      <c r="E258" s="15">
        <v>76</v>
      </c>
      <c r="F258" s="15">
        <v>2</v>
      </c>
      <c r="G258" s="16">
        <v>0</v>
      </c>
      <c r="H258" s="16">
        <v>0</v>
      </c>
      <c r="I258" s="15" t="s">
        <v>21</v>
      </c>
      <c r="J258" s="16">
        <v>0</v>
      </c>
      <c r="K258" s="16">
        <v>0</v>
      </c>
      <c r="L258" s="15">
        <v>2</v>
      </c>
      <c r="M258" s="15">
        <v>-1</v>
      </c>
      <c r="N258" s="17">
        <v>44.831631737715995</v>
      </c>
      <c r="O258" s="16">
        <v>222</v>
      </c>
      <c r="P258" s="16">
        <v>1.23</v>
      </c>
      <c r="Q258" s="24">
        <v>2.5400000000000001E-5</v>
      </c>
      <c r="R258" s="18">
        <v>600</v>
      </c>
      <c r="S258" s="16">
        <v>6.61</v>
      </c>
      <c r="T258" s="16">
        <v>0</v>
      </c>
      <c r="U258" s="16">
        <v>0</v>
      </c>
      <c r="V258" s="16">
        <v>0</v>
      </c>
      <c r="W258" s="18">
        <v>0</v>
      </c>
      <c r="X258" s="18">
        <v>4.2300000000000004</v>
      </c>
      <c r="Y258" s="16">
        <v>0</v>
      </c>
      <c r="Z258" s="18">
        <v>1.18</v>
      </c>
      <c r="AA258" s="18">
        <v>0.13</v>
      </c>
      <c r="AB258" s="18">
        <v>2.5999999999999999E-2</v>
      </c>
      <c r="AC258" s="18">
        <v>1.0999999999999999E-2</v>
      </c>
      <c r="AD258" s="18">
        <v>3.0000000000000001E-3</v>
      </c>
    </row>
    <row r="259" spans="1:30" x14ac:dyDescent="0.3">
      <c r="A259" s="15" t="s">
        <v>212</v>
      </c>
      <c r="B259" s="15" t="s">
        <v>139</v>
      </c>
      <c r="C259" s="15" t="s">
        <v>9</v>
      </c>
      <c r="D259" s="15">
        <v>25</v>
      </c>
      <c r="E259" s="15">
        <v>76</v>
      </c>
      <c r="F259" s="15">
        <v>2</v>
      </c>
      <c r="G259" s="16">
        <v>0</v>
      </c>
      <c r="H259" s="16">
        <v>0</v>
      </c>
      <c r="I259" s="15" t="s">
        <v>21</v>
      </c>
      <c r="J259" s="16">
        <v>750</v>
      </c>
      <c r="K259" s="16">
        <v>1</v>
      </c>
      <c r="L259" s="15">
        <v>2</v>
      </c>
      <c r="M259" s="15">
        <v>-1</v>
      </c>
      <c r="N259" s="17">
        <v>87.366506819144547</v>
      </c>
      <c r="O259" s="16">
        <v>150</v>
      </c>
      <c r="P259" s="16">
        <v>1.371</v>
      </c>
      <c r="Q259" s="24">
        <v>1.36E-4</v>
      </c>
      <c r="R259" s="18">
        <v>650</v>
      </c>
      <c r="S259" s="16">
        <v>5.98</v>
      </c>
      <c r="T259" s="16">
        <v>0</v>
      </c>
      <c r="U259" s="16">
        <v>0</v>
      </c>
      <c r="V259" s="16">
        <v>0</v>
      </c>
      <c r="W259" s="18">
        <v>0</v>
      </c>
      <c r="X259" s="18">
        <v>4.25</v>
      </c>
      <c r="Y259" s="16">
        <v>0.23</v>
      </c>
      <c r="Z259" s="18">
        <v>0.23</v>
      </c>
      <c r="AA259" s="18">
        <v>0</v>
      </c>
      <c r="AB259" s="18">
        <v>0</v>
      </c>
      <c r="AC259" s="18">
        <v>0</v>
      </c>
      <c r="AD259" s="18">
        <v>0</v>
      </c>
    </row>
    <row r="260" spans="1:30" x14ac:dyDescent="0.3">
      <c r="A260" s="15" t="s">
        <v>213</v>
      </c>
      <c r="B260" s="15" t="s">
        <v>139</v>
      </c>
      <c r="C260" s="15" t="s">
        <v>9</v>
      </c>
      <c r="D260" s="15">
        <v>25</v>
      </c>
      <c r="E260" s="15">
        <v>76</v>
      </c>
      <c r="F260" s="15">
        <v>2</v>
      </c>
      <c r="G260" s="16">
        <v>0</v>
      </c>
      <c r="H260" s="16">
        <v>0</v>
      </c>
      <c r="I260" s="15" t="s">
        <v>21</v>
      </c>
      <c r="J260" s="16">
        <v>1050</v>
      </c>
      <c r="K260" s="16">
        <v>0.5</v>
      </c>
      <c r="L260" s="15">
        <v>2</v>
      </c>
      <c r="M260" s="15">
        <v>-1</v>
      </c>
      <c r="N260" s="17">
        <v>87.411203099637547</v>
      </c>
      <c r="O260" s="16">
        <v>250</v>
      </c>
      <c r="P260" s="16">
        <v>1.75</v>
      </c>
      <c r="Q260" s="24">
        <v>2.0000000000000002E-5</v>
      </c>
      <c r="R260" s="18">
        <v>600</v>
      </c>
      <c r="S260" s="16">
        <v>6.33</v>
      </c>
      <c r="T260" s="16">
        <v>0</v>
      </c>
      <c r="U260" s="16">
        <v>0</v>
      </c>
      <c r="V260" s="16">
        <v>0</v>
      </c>
      <c r="W260" s="18">
        <v>0</v>
      </c>
      <c r="X260" s="18">
        <v>4</v>
      </c>
      <c r="Y260" s="16">
        <v>0</v>
      </c>
      <c r="Z260" s="18">
        <v>0.2</v>
      </c>
      <c r="AA260" s="18">
        <v>0.17</v>
      </c>
      <c r="AB260" s="18">
        <v>0.03</v>
      </c>
      <c r="AC260" s="18">
        <v>0.01</v>
      </c>
      <c r="AD260" s="18">
        <v>4.0000000000000001E-3</v>
      </c>
    </row>
    <row r="261" spans="1:30" x14ac:dyDescent="0.3">
      <c r="A261" s="15" t="s">
        <v>214</v>
      </c>
      <c r="B261" s="15" t="s">
        <v>139</v>
      </c>
      <c r="C261" s="15" t="s">
        <v>9</v>
      </c>
      <c r="D261" s="15">
        <v>25</v>
      </c>
      <c r="E261" s="15">
        <v>76</v>
      </c>
      <c r="F261" s="15">
        <v>2</v>
      </c>
      <c r="G261" s="16">
        <v>0</v>
      </c>
      <c r="H261" s="16">
        <v>0</v>
      </c>
      <c r="I261" s="15" t="s">
        <v>21</v>
      </c>
      <c r="J261" s="16">
        <v>950</v>
      </c>
      <c r="K261" s="16">
        <v>1</v>
      </c>
      <c r="L261" s="15">
        <v>2</v>
      </c>
      <c r="M261" s="15">
        <v>-1</v>
      </c>
      <c r="N261" s="17">
        <v>87.411203099637547</v>
      </c>
      <c r="O261" s="16">
        <v>465</v>
      </c>
      <c r="P261" s="16">
        <v>1.92</v>
      </c>
      <c r="Q261" s="24">
        <v>1.19E-5</v>
      </c>
      <c r="R261" s="18">
        <v>500</v>
      </c>
      <c r="S261" s="16">
        <v>6.61</v>
      </c>
      <c r="T261" s="16">
        <v>0</v>
      </c>
      <c r="U261" s="16">
        <v>0</v>
      </c>
      <c r="V261" s="16">
        <v>0</v>
      </c>
      <c r="W261" s="18">
        <v>0</v>
      </c>
      <c r="X261" s="18">
        <v>4.2300000000000004</v>
      </c>
      <c r="Y261" s="16">
        <v>0</v>
      </c>
      <c r="Z261" s="18">
        <v>1.18</v>
      </c>
      <c r="AA261" s="18">
        <v>0.13</v>
      </c>
      <c r="AB261" s="18">
        <v>2.5999999999999999E-2</v>
      </c>
      <c r="AC261" s="18">
        <v>1.0999999999999999E-2</v>
      </c>
      <c r="AD261" s="18">
        <v>3.0000000000000001E-3</v>
      </c>
    </row>
    <row r="262" spans="1:30" x14ac:dyDescent="0.3">
      <c r="A262" s="15" t="s">
        <v>215</v>
      </c>
      <c r="B262" s="15" t="s">
        <v>139</v>
      </c>
      <c r="C262" s="15" t="s">
        <v>9</v>
      </c>
      <c r="D262" s="15">
        <v>25</v>
      </c>
      <c r="E262" s="15">
        <v>76</v>
      </c>
      <c r="F262" s="15">
        <v>2</v>
      </c>
      <c r="G262" s="16">
        <v>0</v>
      </c>
      <c r="H262" s="16">
        <v>0</v>
      </c>
      <c r="I262" s="15" t="s">
        <v>21</v>
      </c>
      <c r="J262" s="16">
        <v>0</v>
      </c>
      <c r="K262" s="16">
        <v>0</v>
      </c>
      <c r="L262" s="15">
        <v>2</v>
      </c>
      <c r="M262" s="15">
        <v>-1</v>
      </c>
      <c r="N262" s="17">
        <v>45.869993153080529</v>
      </c>
      <c r="O262" s="16">
        <v>465</v>
      </c>
      <c r="P262" s="16">
        <v>1.92</v>
      </c>
      <c r="Q262" s="24">
        <v>1.19E-5</v>
      </c>
      <c r="R262" s="18">
        <v>500</v>
      </c>
      <c r="S262" s="16">
        <v>6.61</v>
      </c>
      <c r="T262" s="16">
        <v>0</v>
      </c>
      <c r="U262" s="16">
        <v>0</v>
      </c>
      <c r="V262" s="16">
        <v>0</v>
      </c>
      <c r="W262" s="18">
        <v>0</v>
      </c>
      <c r="X262" s="18">
        <v>4.2300000000000004</v>
      </c>
      <c r="Y262" s="16">
        <v>0</v>
      </c>
      <c r="Z262" s="18">
        <v>1.18</v>
      </c>
      <c r="AA262" s="18">
        <v>0.13</v>
      </c>
      <c r="AB262" s="18">
        <v>2.5999999999999999E-2</v>
      </c>
      <c r="AC262" s="18">
        <v>1.0999999999999999E-2</v>
      </c>
      <c r="AD262" s="18">
        <v>3.0000000000000001E-3</v>
      </c>
    </row>
    <row r="263" spans="1:30" x14ac:dyDescent="0.3">
      <c r="A263" s="15" t="s">
        <v>216</v>
      </c>
      <c r="B263" s="15" t="s">
        <v>139</v>
      </c>
      <c r="C263" s="15" t="s">
        <v>9</v>
      </c>
      <c r="D263" s="15">
        <v>25</v>
      </c>
      <c r="E263" s="15">
        <v>76</v>
      </c>
      <c r="F263" s="15">
        <v>2</v>
      </c>
      <c r="G263" s="16">
        <v>690</v>
      </c>
      <c r="H263" s="16">
        <v>4</v>
      </c>
      <c r="I263" s="15" t="s">
        <v>21</v>
      </c>
      <c r="J263" s="16">
        <v>1050</v>
      </c>
      <c r="K263" s="16">
        <v>0.5</v>
      </c>
      <c r="L263" s="15">
        <v>2</v>
      </c>
      <c r="M263" s="15">
        <v>-1</v>
      </c>
      <c r="N263" s="17">
        <v>116.66170539175123</v>
      </c>
      <c r="O263" s="16">
        <v>250</v>
      </c>
      <c r="P263" s="16">
        <v>2.0299999999999998</v>
      </c>
      <c r="Q263" s="24">
        <v>8.4400000000000005E-6</v>
      </c>
      <c r="R263" s="18">
        <v>600</v>
      </c>
      <c r="S263" s="16">
        <v>6.75</v>
      </c>
      <c r="T263" s="16">
        <v>0</v>
      </c>
      <c r="U263" s="16">
        <v>0</v>
      </c>
      <c r="V263" s="16">
        <v>0</v>
      </c>
      <c r="W263" s="18">
        <v>0</v>
      </c>
      <c r="X263" s="18">
        <v>4.5</v>
      </c>
      <c r="Y263" s="16">
        <v>0</v>
      </c>
      <c r="Z263" s="18">
        <v>0.4</v>
      </c>
      <c r="AA263" s="18">
        <v>0.2</v>
      </c>
      <c r="AB263" s="18">
        <v>0.1</v>
      </c>
      <c r="AC263" s="18">
        <v>0.05</v>
      </c>
      <c r="AD263" s="18">
        <v>0.125</v>
      </c>
    </row>
    <row r="264" spans="1:30" x14ac:dyDescent="0.3">
      <c r="A264" s="15" t="s">
        <v>217</v>
      </c>
      <c r="B264" s="15" t="s">
        <v>139</v>
      </c>
      <c r="C264" s="15" t="s">
        <v>9</v>
      </c>
      <c r="D264" s="15">
        <v>25</v>
      </c>
      <c r="E264" s="15">
        <v>76</v>
      </c>
      <c r="F264" s="15">
        <v>2</v>
      </c>
      <c r="G264" s="16">
        <v>0</v>
      </c>
      <c r="H264" s="16">
        <v>0</v>
      </c>
      <c r="I264" s="15" t="s">
        <v>21</v>
      </c>
      <c r="J264" s="16">
        <v>0</v>
      </c>
      <c r="K264" s="16">
        <v>0</v>
      </c>
      <c r="L264" s="15">
        <v>2</v>
      </c>
      <c r="M264" s="15">
        <v>-1</v>
      </c>
      <c r="N264" s="17">
        <v>45.869993153080529</v>
      </c>
      <c r="O264" s="16">
        <v>222</v>
      </c>
      <c r="P264" s="16">
        <v>2.19</v>
      </c>
      <c r="Q264" s="24">
        <v>1.1399999999999999E-5</v>
      </c>
      <c r="R264" s="18">
        <v>600</v>
      </c>
      <c r="S264" s="16">
        <v>5.98</v>
      </c>
      <c r="T264" s="16">
        <v>0</v>
      </c>
      <c r="U264" s="16">
        <v>0</v>
      </c>
      <c r="V264" s="16">
        <v>0</v>
      </c>
      <c r="W264" s="18">
        <v>0</v>
      </c>
      <c r="X264" s="18">
        <v>4.07</v>
      </c>
      <c r="Y264" s="16">
        <v>0</v>
      </c>
      <c r="Z264" s="18">
        <v>0.2</v>
      </c>
      <c r="AA264" s="18">
        <v>0.1</v>
      </c>
      <c r="AB264" s="18">
        <v>5.0000000000000001E-3</v>
      </c>
      <c r="AC264" s="18">
        <v>5.0000000000000001E-3</v>
      </c>
      <c r="AD264" s="18">
        <v>1E-3</v>
      </c>
    </row>
    <row r="265" spans="1:30" x14ac:dyDescent="0.3">
      <c r="A265" s="15" t="s">
        <v>218</v>
      </c>
      <c r="B265" s="15" t="s">
        <v>139</v>
      </c>
      <c r="C265" s="15" t="s">
        <v>9</v>
      </c>
      <c r="D265" s="15">
        <v>25</v>
      </c>
      <c r="E265" s="15">
        <v>76</v>
      </c>
      <c r="F265" s="15">
        <v>2</v>
      </c>
      <c r="G265" s="16">
        <v>0</v>
      </c>
      <c r="H265" s="16">
        <v>0</v>
      </c>
      <c r="I265" s="15" t="s">
        <v>21</v>
      </c>
      <c r="J265" s="16">
        <v>900</v>
      </c>
      <c r="K265" s="16">
        <v>2</v>
      </c>
      <c r="L265" s="15">
        <v>2</v>
      </c>
      <c r="M265" s="15">
        <v>-1</v>
      </c>
      <c r="N265" s="17">
        <v>89.084095513688155</v>
      </c>
      <c r="O265" s="16">
        <v>300</v>
      </c>
      <c r="P265" s="16">
        <v>2.86</v>
      </c>
      <c r="Q265" s="24">
        <v>3.05E-6</v>
      </c>
      <c r="R265" s="18">
        <v>550</v>
      </c>
      <c r="S265" s="16">
        <v>6</v>
      </c>
      <c r="T265" s="16">
        <v>0</v>
      </c>
      <c r="U265" s="16">
        <v>0</v>
      </c>
      <c r="V265" s="16">
        <v>0</v>
      </c>
      <c r="W265" s="18">
        <v>0</v>
      </c>
      <c r="X265" s="18">
        <v>4</v>
      </c>
      <c r="Y265" s="16">
        <v>0</v>
      </c>
      <c r="Z265" s="18">
        <v>0.25</v>
      </c>
      <c r="AA265" s="18">
        <v>0.2</v>
      </c>
      <c r="AB265" s="18">
        <v>0.08</v>
      </c>
      <c r="AC265" s="18">
        <v>0.05</v>
      </c>
      <c r="AD265" s="18">
        <v>0.01</v>
      </c>
    </row>
    <row r="266" spans="1:30" x14ac:dyDescent="0.3">
      <c r="A266" s="15" t="s">
        <v>219</v>
      </c>
      <c r="B266" s="15" t="s">
        <v>139</v>
      </c>
      <c r="C266" s="15" t="s">
        <v>9</v>
      </c>
      <c r="D266" s="15">
        <v>25</v>
      </c>
      <c r="E266" s="15">
        <v>76</v>
      </c>
      <c r="F266" s="15">
        <v>2</v>
      </c>
      <c r="G266" s="16">
        <v>0</v>
      </c>
      <c r="H266" s="16">
        <v>0</v>
      </c>
      <c r="I266" s="15" t="s">
        <v>21</v>
      </c>
      <c r="J266" s="16">
        <v>750</v>
      </c>
      <c r="K266" s="16">
        <v>1</v>
      </c>
      <c r="L266" s="15">
        <v>2</v>
      </c>
      <c r="M266" s="15">
        <v>-1</v>
      </c>
      <c r="N266" s="17">
        <v>89.057510095960126</v>
      </c>
      <c r="O266" s="16">
        <v>100</v>
      </c>
      <c r="P266" s="16">
        <v>4.6840000000000002</v>
      </c>
      <c r="Q266" s="24">
        <v>3.4799999999999999E-5</v>
      </c>
      <c r="R266" s="18">
        <v>650</v>
      </c>
      <c r="S266" s="16">
        <v>5.98</v>
      </c>
      <c r="T266" s="16">
        <v>0</v>
      </c>
      <c r="U266" s="16">
        <v>0</v>
      </c>
      <c r="V266" s="16">
        <v>0</v>
      </c>
      <c r="W266" s="18">
        <v>0</v>
      </c>
      <c r="X266" s="18">
        <v>4.25</v>
      </c>
      <c r="Y266" s="16">
        <v>0.23</v>
      </c>
      <c r="Z266" s="18">
        <v>0.23</v>
      </c>
      <c r="AA266" s="18">
        <v>0</v>
      </c>
      <c r="AB266" s="18">
        <v>0</v>
      </c>
      <c r="AC266" s="18">
        <v>0</v>
      </c>
      <c r="AD266" s="18">
        <v>0.2</v>
      </c>
    </row>
    <row r="267" spans="1:30" x14ac:dyDescent="0.3">
      <c r="A267" s="15" t="s">
        <v>220</v>
      </c>
      <c r="B267" s="15" t="s">
        <v>139</v>
      </c>
      <c r="C267" s="15" t="s">
        <v>9</v>
      </c>
      <c r="D267" s="15">
        <v>25</v>
      </c>
      <c r="E267" s="15">
        <v>76</v>
      </c>
      <c r="F267" s="15">
        <v>2</v>
      </c>
      <c r="G267" s="16">
        <v>0</v>
      </c>
      <c r="H267" s="16">
        <v>0</v>
      </c>
      <c r="I267" s="15" t="s">
        <v>21</v>
      </c>
      <c r="J267" s="16">
        <v>750</v>
      </c>
      <c r="K267" s="16">
        <v>1</v>
      </c>
      <c r="L267" s="15">
        <v>2</v>
      </c>
      <c r="M267" s="15">
        <v>-1</v>
      </c>
      <c r="N267" s="17">
        <v>89.057510095960126</v>
      </c>
      <c r="O267" s="16">
        <v>100</v>
      </c>
      <c r="P267" s="16">
        <v>4.827</v>
      </c>
      <c r="Q267" s="24">
        <v>4.9499999999999997E-5</v>
      </c>
      <c r="R267" s="18">
        <v>650</v>
      </c>
      <c r="S267" s="16">
        <v>5.98</v>
      </c>
      <c r="T267" s="16">
        <v>0</v>
      </c>
      <c r="U267" s="16">
        <v>0</v>
      </c>
      <c r="V267" s="16">
        <v>0</v>
      </c>
      <c r="W267" s="18">
        <v>0</v>
      </c>
      <c r="X267" s="18">
        <v>4.25</v>
      </c>
      <c r="Y267" s="16">
        <v>0.23</v>
      </c>
      <c r="Z267" s="18">
        <v>0.23</v>
      </c>
      <c r="AA267" s="18">
        <v>0</v>
      </c>
      <c r="AB267" s="18">
        <v>0</v>
      </c>
      <c r="AC267" s="18">
        <v>0</v>
      </c>
      <c r="AD267" s="18">
        <v>0</v>
      </c>
    </row>
    <row r="268" spans="1:30" x14ac:dyDescent="0.3">
      <c r="A268" s="15" t="s">
        <v>221</v>
      </c>
      <c r="B268" s="15" t="s">
        <v>139</v>
      </c>
      <c r="C268" s="15" t="s">
        <v>9</v>
      </c>
      <c r="D268" s="15">
        <v>25</v>
      </c>
      <c r="E268" s="15">
        <v>76</v>
      </c>
      <c r="F268" s="15">
        <v>2</v>
      </c>
      <c r="G268" s="16">
        <v>0</v>
      </c>
      <c r="H268" s="16">
        <v>0</v>
      </c>
      <c r="I268" s="15" t="s">
        <v>21</v>
      </c>
      <c r="J268" s="16">
        <v>0</v>
      </c>
      <c r="K268" s="16">
        <v>0</v>
      </c>
      <c r="L268" s="15">
        <v>2</v>
      </c>
      <c r="M268" s="15">
        <v>-1</v>
      </c>
      <c r="N268" s="17">
        <v>48.904755675984347</v>
      </c>
      <c r="O268" s="16">
        <v>361</v>
      </c>
      <c r="P268" s="16">
        <v>5.33</v>
      </c>
      <c r="Q268" s="24">
        <v>9.64E-7</v>
      </c>
      <c r="R268" s="18">
        <v>500</v>
      </c>
      <c r="S268" s="16">
        <v>6.61</v>
      </c>
      <c r="T268" s="16">
        <v>0</v>
      </c>
      <c r="U268" s="16">
        <v>0</v>
      </c>
      <c r="V268" s="16">
        <v>0</v>
      </c>
      <c r="W268" s="18">
        <v>0</v>
      </c>
      <c r="X268" s="18">
        <v>4.2300000000000004</v>
      </c>
      <c r="Y268" s="16">
        <v>0</v>
      </c>
      <c r="Z268" s="18">
        <v>1.18</v>
      </c>
      <c r="AA268" s="18">
        <v>0.13</v>
      </c>
      <c r="AB268" s="18">
        <v>2.5999999999999999E-2</v>
      </c>
      <c r="AC268" s="18">
        <v>1.0999999999999999E-2</v>
      </c>
      <c r="AD268" s="18">
        <v>3.0000000000000001E-3</v>
      </c>
    </row>
    <row r="269" spans="1:30" x14ac:dyDescent="0.3">
      <c r="A269" s="15" t="s">
        <v>222</v>
      </c>
      <c r="B269" s="15" t="s">
        <v>139</v>
      </c>
      <c r="C269" s="15" t="s">
        <v>9</v>
      </c>
      <c r="D269" s="15">
        <v>25</v>
      </c>
      <c r="E269" s="15">
        <v>76</v>
      </c>
      <c r="F269" s="15">
        <v>2</v>
      </c>
      <c r="G269" s="16">
        <v>0</v>
      </c>
      <c r="H269" s="16">
        <v>0</v>
      </c>
      <c r="I269" s="15" t="s">
        <v>21</v>
      </c>
      <c r="J269" s="16">
        <v>0</v>
      </c>
      <c r="K269" s="16">
        <v>0</v>
      </c>
      <c r="L269" s="15">
        <v>2</v>
      </c>
      <c r="M269" s="15">
        <v>-1</v>
      </c>
      <c r="N269" s="17">
        <v>48.904755675984347</v>
      </c>
      <c r="O269" s="19">
        <v>125</v>
      </c>
      <c r="P269" s="19">
        <v>5.58</v>
      </c>
      <c r="Q269" s="25">
        <v>1.13E-5</v>
      </c>
      <c r="R269" s="19">
        <v>600</v>
      </c>
      <c r="S269" s="16">
        <v>6</v>
      </c>
      <c r="T269" s="16">
        <v>0</v>
      </c>
      <c r="U269" s="16">
        <v>0</v>
      </c>
      <c r="V269" s="16">
        <v>0</v>
      </c>
      <c r="W269" s="18">
        <v>0</v>
      </c>
      <c r="X269" s="18">
        <v>4</v>
      </c>
      <c r="Y269" s="16">
        <v>0</v>
      </c>
      <c r="Z269" s="18">
        <v>0.4</v>
      </c>
      <c r="AA269" s="18">
        <v>0.2</v>
      </c>
      <c r="AB269" s="18">
        <v>0.08</v>
      </c>
      <c r="AC269" s="18">
        <v>0.05</v>
      </c>
      <c r="AD269" s="18">
        <v>1.4999999999999999E-2</v>
      </c>
    </row>
    <row r="270" spans="1:30" x14ac:dyDescent="0.3">
      <c r="A270" s="15" t="s">
        <v>223</v>
      </c>
      <c r="B270" s="15" t="s">
        <v>139</v>
      </c>
      <c r="C270" s="15" t="s">
        <v>9</v>
      </c>
      <c r="D270" s="15">
        <v>25</v>
      </c>
      <c r="E270" s="15">
        <v>76</v>
      </c>
      <c r="F270" s="15">
        <v>2</v>
      </c>
      <c r="G270" s="16">
        <v>0</v>
      </c>
      <c r="H270" s="16">
        <v>0</v>
      </c>
      <c r="I270" s="15" t="s">
        <v>21</v>
      </c>
      <c r="J270" s="16">
        <v>900</v>
      </c>
      <c r="K270" s="16">
        <v>2</v>
      </c>
      <c r="L270" s="15">
        <v>2</v>
      </c>
      <c r="M270" s="15">
        <v>-1</v>
      </c>
      <c r="N270" s="17">
        <v>87.807690439472196</v>
      </c>
      <c r="O270" s="16">
        <v>300</v>
      </c>
      <c r="P270" s="16">
        <v>6.88</v>
      </c>
      <c r="Q270" s="24">
        <v>2.5500000000000001E-6</v>
      </c>
      <c r="R270" s="18">
        <v>550</v>
      </c>
      <c r="S270" s="16">
        <v>6</v>
      </c>
      <c r="T270" s="16">
        <v>0</v>
      </c>
      <c r="U270" s="16">
        <v>0</v>
      </c>
      <c r="V270" s="16">
        <v>0</v>
      </c>
      <c r="W270" s="18">
        <v>0</v>
      </c>
      <c r="X270" s="18">
        <v>4</v>
      </c>
      <c r="Y270" s="16">
        <v>0</v>
      </c>
      <c r="Z270" s="18">
        <v>0.25</v>
      </c>
      <c r="AA270" s="18">
        <v>0.2</v>
      </c>
      <c r="AB270" s="18">
        <v>0.08</v>
      </c>
      <c r="AC270" s="18">
        <v>0.05</v>
      </c>
      <c r="AD270" s="18">
        <v>0.01</v>
      </c>
    </row>
    <row r="271" spans="1:30" x14ac:dyDescent="0.3">
      <c r="A271" s="15" t="s">
        <v>224</v>
      </c>
      <c r="B271" s="15" t="s">
        <v>139</v>
      </c>
      <c r="C271" s="15" t="s">
        <v>9</v>
      </c>
      <c r="D271" s="15">
        <v>25</v>
      </c>
      <c r="E271" s="15">
        <v>76</v>
      </c>
      <c r="F271" s="15">
        <v>2</v>
      </c>
      <c r="G271" s="16">
        <v>0</v>
      </c>
      <c r="H271" s="16">
        <v>0</v>
      </c>
      <c r="I271" s="15" t="s">
        <v>21</v>
      </c>
      <c r="J271" s="16">
        <v>900</v>
      </c>
      <c r="K271" s="16">
        <v>2</v>
      </c>
      <c r="L271" s="15">
        <v>2</v>
      </c>
      <c r="M271" s="15">
        <v>-1</v>
      </c>
      <c r="N271" s="17">
        <v>87.807690439472196</v>
      </c>
      <c r="O271" s="16">
        <v>300</v>
      </c>
      <c r="P271" s="16">
        <v>7.66</v>
      </c>
      <c r="Q271" s="24">
        <v>2.2500000000000001E-6</v>
      </c>
      <c r="R271" s="18">
        <v>550</v>
      </c>
      <c r="S271" s="16">
        <v>6</v>
      </c>
      <c r="T271" s="16">
        <v>0</v>
      </c>
      <c r="U271" s="16">
        <v>0</v>
      </c>
      <c r="V271" s="16">
        <v>0</v>
      </c>
      <c r="W271" s="18">
        <v>0</v>
      </c>
      <c r="X271" s="18">
        <v>4</v>
      </c>
      <c r="Y271" s="16">
        <v>0</v>
      </c>
      <c r="Z271" s="18">
        <v>0.25</v>
      </c>
      <c r="AA271" s="18">
        <v>0.2</v>
      </c>
      <c r="AB271" s="18">
        <v>0.08</v>
      </c>
      <c r="AC271" s="18">
        <v>0.05</v>
      </c>
      <c r="AD271" s="18">
        <v>0.01</v>
      </c>
    </row>
    <row r="272" spans="1:30" x14ac:dyDescent="0.3">
      <c r="A272" s="15" t="s">
        <v>225</v>
      </c>
      <c r="B272" s="15" t="s">
        <v>139</v>
      </c>
      <c r="C272" s="15" t="s">
        <v>9</v>
      </c>
      <c r="D272" s="15">
        <v>25</v>
      </c>
      <c r="E272" s="15">
        <v>76</v>
      </c>
      <c r="F272" s="15">
        <v>2</v>
      </c>
      <c r="G272" s="16">
        <v>0</v>
      </c>
      <c r="H272" s="16">
        <v>0</v>
      </c>
      <c r="I272" s="15" t="s">
        <v>21</v>
      </c>
      <c r="J272" s="16">
        <v>0</v>
      </c>
      <c r="K272" s="16">
        <v>0</v>
      </c>
      <c r="L272" s="15">
        <v>2</v>
      </c>
      <c r="M272" s="15">
        <v>-1</v>
      </c>
      <c r="N272" s="17">
        <v>48.904755675984347</v>
      </c>
      <c r="O272" s="19">
        <v>200</v>
      </c>
      <c r="P272" s="19">
        <v>8</v>
      </c>
      <c r="Q272" s="25">
        <v>3.8600000000000003E-6</v>
      </c>
      <c r="R272" s="19">
        <v>600</v>
      </c>
      <c r="S272" s="16">
        <v>6.44</v>
      </c>
      <c r="T272" s="16">
        <v>0</v>
      </c>
      <c r="U272" s="16">
        <v>0</v>
      </c>
      <c r="V272" s="16">
        <v>0</v>
      </c>
      <c r="W272" s="18">
        <v>0</v>
      </c>
      <c r="X272" s="18">
        <v>3.87</v>
      </c>
      <c r="Y272" s="16">
        <v>0</v>
      </c>
      <c r="Z272" s="18">
        <v>0.25</v>
      </c>
      <c r="AA272" s="18">
        <v>0.2</v>
      </c>
      <c r="AB272" s="18">
        <v>0.08</v>
      </c>
      <c r="AC272" s="18">
        <v>0.05</v>
      </c>
      <c r="AD272" s="18">
        <v>0.01</v>
      </c>
    </row>
    <row r="273" spans="1:30" x14ac:dyDescent="0.3">
      <c r="A273" s="15" t="s">
        <v>226</v>
      </c>
      <c r="B273" s="15" t="s">
        <v>139</v>
      </c>
      <c r="C273" s="15" t="s">
        <v>9</v>
      </c>
      <c r="D273" s="15">
        <v>25</v>
      </c>
      <c r="E273" s="15">
        <v>76</v>
      </c>
      <c r="F273" s="15">
        <v>2</v>
      </c>
      <c r="G273" s="16">
        <v>0</v>
      </c>
      <c r="H273" s="16">
        <v>0</v>
      </c>
      <c r="I273" s="15" t="s">
        <v>21</v>
      </c>
      <c r="J273" s="16">
        <v>720</v>
      </c>
      <c r="K273" s="16">
        <v>2</v>
      </c>
      <c r="L273" s="15">
        <v>2</v>
      </c>
      <c r="M273" s="15">
        <v>-1</v>
      </c>
      <c r="N273" s="17">
        <v>87.807690439472196</v>
      </c>
      <c r="O273" s="16">
        <v>673</v>
      </c>
      <c r="P273" s="16">
        <v>8.66</v>
      </c>
      <c r="Q273" s="24">
        <v>5.5600000000000002E-8</v>
      </c>
      <c r="R273" s="18">
        <v>315</v>
      </c>
      <c r="S273" s="16">
        <v>5.9</v>
      </c>
      <c r="T273" s="16">
        <v>0</v>
      </c>
      <c r="U273" s="16">
        <v>0</v>
      </c>
      <c r="V273" s="16">
        <v>0</v>
      </c>
      <c r="W273" s="18">
        <v>0</v>
      </c>
      <c r="X273" s="18">
        <v>3.9</v>
      </c>
      <c r="Y273" s="16">
        <v>0</v>
      </c>
      <c r="Z273" s="18">
        <v>0.17</v>
      </c>
      <c r="AA273" s="18">
        <v>0.246</v>
      </c>
      <c r="AB273" s="18">
        <v>2.9000000000000001E-2</v>
      </c>
      <c r="AC273" s="18">
        <v>3.0999999999999999E-3</v>
      </c>
      <c r="AD273" s="18">
        <v>3.0999999999999999E-3</v>
      </c>
    </row>
    <row r="274" spans="1:30" x14ac:dyDescent="0.3">
      <c r="A274" s="15" t="s">
        <v>227</v>
      </c>
      <c r="B274" s="15" t="s">
        <v>139</v>
      </c>
      <c r="C274" s="15" t="s">
        <v>9</v>
      </c>
      <c r="D274" s="15">
        <v>25</v>
      </c>
      <c r="E274" s="15">
        <v>76</v>
      </c>
      <c r="F274" s="15">
        <v>2</v>
      </c>
      <c r="G274" s="16">
        <v>0</v>
      </c>
      <c r="H274" s="16">
        <v>0</v>
      </c>
      <c r="I274" s="15" t="s">
        <v>21</v>
      </c>
      <c r="J274" s="16">
        <v>720</v>
      </c>
      <c r="K274" s="16">
        <v>2</v>
      </c>
      <c r="L274" s="15">
        <v>2</v>
      </c>
      <c r="M274" s="15">
        <v>-1</v>
      </c>
      <c r="N274" s="17">
        <v>87.807690439472196</v>
      </c>
      <c r="O274" s="16">
        <v>138</v>
      </c>
      <c r="P274" s="16">
        <v>9.1</v>
      </c>
      <c r="Q274" s="24">
        <v>3.0000000000000001E-6</v>
      </c>
      <c r="R274" s="18">
        <v>650</v>
      </c>
      <c r="S274" s="16">
        <v>5.9</v>
      </c>
      <c r="T274" s="16">
        <v>0</v>
      </c>
      <c r="U274" s="16">
        <v>0</v>
      </c>
      <c r="V274" s="16">
        <v>0</v>
      </c>
      <c r="W274" s="18">
        <v>0</v>
      </c>
      <c r="X274" s="18">
        <v>3.9</v>
      </c>
      <c r="Y274" s="16">
        <v>0</v>
      </c>
      <c r="Z274" s="18">
        <v>0.17</v>
      </c>
      <c r="AA274" s="18">
        <v>0.246</v>
      </c>
      <c r="AB274" s="18">
        <v>2.9000000000000001E-2</v>
      </c>
      <c r="AC274" s="18">
        <v>3.0999999999999999E-3</v>
      </c>
      <c r="AD274" s="18">
        <v>3.0999999999999999E-3</v>
      </c>
    </row>
    <row r="275" spans="1:30" x14ac:dyDescent="0.3">
      <c r="A275" s="15" t="s">
        <v>228</v>
      </c>
      <c r="B275" s="15" t="s">
        <v>139</v>
      </c>
      <c r="C275" s="15" t="s">
        <v>9</v>
      </c>
      <c r="D275" s="15">
        <v>25</v>
      </c>
      <c r="E275" s="15">
        <v>76</v>
      </c>
      <c r="F275" s="15">
        <v>2</v>
      </c>
      <c r="G275" s="16">
        <v>0</v>
      </c>
      <c r="H275" s="16">
        <v>0</v>
      </c>
      <c r="I275" s="15" t="s">
        <v>21</v>
      </c>
      <c r="J275" s="16">
        <v>0</v>
      </c>
      <c r="K275" s="16">
        <v>0</v>
      </c>
      <c r="L275" s="15">
        <v>2</v>
      </c>
      <c r="M275" s="15">
        <v>-1</v>
      </c>
      <c r="N275" s="17">
        <v>48.904755675984347</v>
      </c>
      <c r="O275" s="16">
        <v>319</v>
      </c>
      <c r="P275" s="16">
        <v>11.53</v>
      </c>
      <c r="Q275" s="24">
        <v>2.3800000000000001E-6</v>
      </c>
      <c r="R275" s="18">
        <v>500</v>
      </c>
      <c r="S275" s="16">
        <v>6.61</v>
      </c>
      <c r="T275" s="16">
        <v>0</v>
      </c>
      <c r="U275" s="16">
        <v>0</v>
      </c>
      <c r="V275" s="16">
        <v>0</v>
      </c>
      <c r="W275" s="18">
        <v>0</v>
      </c>
      <c r="X275" s="18">
        <v>4.2300000000000004</v>
      </c>
      <c r="Y275" s="16">
        <v>0</v>
      </c>
      <c r="Z275" s="18">
        <v>1.18</v>
      </c>
      <c r="AA275" s="18">
        <v>0.13</v>
      </c>
      <c r="AB275" s="18">
        <v>2.5999999999999999E-2</v>
      </c>
      <c r="AC275" s="18">
        <v>1.0999999999999999E-2</v>
      </c>
      <c r="AD275" s="18">
        <v>3.0000000000000001E-3</v>
      </c>
    </row>
    <row r="276" spans="1:30" x14ac:dyDescent="0.3">
      <c r="A276" s="15" t="s">
        <v>229</v>
      </c>
      <c r="B276" s="15" t="s">
        <v>139</v>
      </c>
      <c r="C276" s="15" t="s">
        <v>9</v>
      </c>
      <c r="D276" s="15">
        <v>25</v>
      </c>
      <c r="E276" s="15">
        <v>76</v>
      </c>
      <c r="F276" s="15">
        <v>2</v>
      </c>
      <c r="G276" s="16">
        <v>0</v>
      </c>
      <c r="H276" s="16">
        <v>0</v>
      </c>
      <c r="I276" s="15" t="s">
        <v>21</v>
      </c>
      <c r="J276" s="16">
        <v>0</v>
      </c>
      <c r="K276" s="16">
        <v>0</v>
      </c>
      <c r="L276" s="15">
        <v>2</v>
      </c>
      <c r="M276" s="15">
        <v>-1</v>
      </c>
      <c r="N276" s="17">
        <v>48.904755675984347</v>
      </c>
      <c r="O276" s="16">
        <v>14</v>
      </c>
      <c r="P276" s="16">
        <v>12.5</v>
      </c>
      <c r="Q276" s="24">
        <v>1.1000000000000001E-6</v>
      </c>
      <c r="R276" s="18">
        <v>700</v>
      </c>
      <c r="S276" s="16">
        <v>6.61</v>
      </c>
      <c r="T276" s="16">
        <v>0</v>
      </c>
      <c r="U276" s="16">
        <v>0</v>
      </c>
      <c r="V276" s="16">
        <v>0</v>
      </c>
      <c r="W276" s="18">
        <v>0</v>
      </c>
      <c r="X276" s="18">
        <v>4.2300000000000004</v>
      </c>
      <c r="Y276" s="16">
        <v>0</v>
      </c>
      <c r="Z276" s="18">
        <v>1.18</v>
      </c>
      <c r="AA276" s="18">
        <v>0.13</v>
      </c>
      <c r="AB276" s="18">
        <v>2.5999999999999999E-2</v>
      </c>
      <c r="AC276" s="18">
        <v>1.0999999999999999E-2</v>
      </c>
      <c r="AD276" s="18">
        <v>3.0000000000000001E-3</v>
      </c>
    </row>
    <row r="277" spans="1:30" x14ac:dyDescent="0.3">
      <c r="A277" s="15" t="s">
        <v>230</v>
      </c>
      <c r="B277" s="15" t="s">
        <v>139</v>
      </c>
      <c r="C277" s="15" t="s">
        <v>9</v>
      </c>
      <c r="D277" s="15">
        <v>25</v>
      </c>
      <c r="E277" s="15">
        <v>76</v>
      </c>
      <c r="F277" s="15">
        <v>2</v>
      </c>
      <c r="G277" s="16">
        <v>0</v>
      </c>
      <c r="H277" s="16">
        <v>0</v>
      </c>
      <c r="I277" s="15" t="s">
        <v>21</v>
      </c>
      <c r="J277" s="16">
        <v>190</v>
      </c>
      <c r="K277" s="16">
        <v>6</v>
      </c>
      <c r="L277" s="15">
        <v>2</v>
      </c>
      <c r="M277" s="15">
        <v>-1</v>
      </c>
      <c r="N277" s="17">
        <v>87.807690439472196</v>
      </c>
      <c r="O277" s="16">
        <v>125</v>
      </c>
      <c r="P277" s="16">
        <v>14</v>
      </c>
      <c r="Q277" s="24">
        <v>2.7199999999999998E-6</v>
      </c>
      <c r="R277" s="18">
        <v>600</v>
      </c>
      <c r="S277" s="16">
        <v>6.33</v>
      </c>
      <c r="T277" s="16">
        <v>0</v>
      </c>
      <c r="U277" s="16">
        <v>0</v>
      </c>
      <c r="V277" s="16">
        <v>0</v>
      </c>
      <c r="W277" s="18">
        <v>0</v>
      </c>
      <c r="X277" s="18">
        <v>4</v>
      </c>
      <c r="Y277" s="16">
        <v>0</v>
      </c>
      <c r="Z277" s="18">
        <v>0.2</v>
      </c>
      <c r="AA277" s="18">
        <v>0.17</v>
      </c>
      <c r="AB277" s="18">
        <v>0.03</v>
      </c>
      <c r="AC277" s="18">
        <v>0.01</v>
      </c>
      <c r="AD277" s="18">
        <v>4.0000000000000001E-3</v>
      </c>
    </row>
    <row r="278" spans="1:30" x14ac:dyDescent="0.3">
      <c r="A278" s="15" t="s">
        <v>231</v>
      </c>
      <c r="B278" s="15" t="s">
        <v>139</v>
      </c>
      <c r="C278" s="15" t="s">
        <v>9</v>
      </c>
      <c r="D278" s="15">
        <v>25</v>
      </c>
      <c r="E278" s="15">
        <v>76</v>
      </c>
      <c r="F278" s="15">
        <v>2</v>
      </c>
      <c r="G278" s="16">
        <v>0</v>
      </c>
      <c r="H278" s="16">
        <v>0</v>
      </c>
      <c r="I278" s="15" t="s">
        <v>21</v>
      </c>
      <c r="J278" s="16">
        <v>950</v>
      </c>
      <c r="K278" s="16">
        <v>1</v>
      </c>
      <c r="L278" s="15">
        <v>2</v>
      </c>
      <c r="M278" s="15">
        <v>-1</v>
      </c>
      <c r="N278" s="17">
        <v>89.057510095960126</v>
      </c>
      <c r="O278" s="16">
        <v>125</v>
      </c>
      <c r="P278" s="16">
        <v>14</v>
      </c>
      <c r="Q278" s="24">
        <v>2.5500000000000001E-6</v>
      </c>
      <c r="R278" s="18">
        <v>600</v>
      </c>
      <c r="S278" s="16">
        <v>6.61</v>
      </c>
      <c r="T278" s="16">
        <v>0</v>
      </c>
      <c r="U278" s="16">
        <v>0</v>
      </c>
      <c r="V278" s="16">
        <v>0</v>
      </c>
      <c r="W278" s="18">
        <v>0</v>
      </c>
      <c r="X278" s="18">
        <v>4.2300000000000004</v>
      </c>
      <c r="Y278" s="16">
        <v>0</v>
      </c>
      <c r="Z278" s="18">
        <v>1.18</v>
      </c>
      <c r="AA278" s="18">
        <v>0.13</v>
      </c>
      <c r="AB278" s="18">
        <v>2.5999999999999999E-2</v>
      </c>
      <c r="AC278" s="18">
        <v>1.0999999999999999E-2</v>
      </c>
      <c r="AD278" s="18">
        <v>3.0000000000000001E-3</v>
      </c>
    </row>
    <row r="279" spans="1:30" x14ac:dyDescent="0.3">
      <c r="A279" s="15" t="s">
        <v>232</v>
      </c>
      <c r="B279" s="15" t="s">
        <v>139</v>
      </c>
      <c r="C279" s="15" t="s">
        <v>9</v>
      </c>
      <c r="D279" s="15">
        <v>25</v>
      </c>
      <c r="E279" s="15">
        <v>76</v>
      </c>
      <c r="F279" s="15">
        <v>2</v>
      </c>
      <c r="G279" s="16">
        <v>0</v>
      </c>
      <c r="H279" s="16">
        <v>0</v>
      </c>
      <c r="I279" s="15" t="s">
        <v>21</v>
      </c>
      <c r="J279" s="16">
        <v>0</v>
      </c>
      <c r="K279" s="16">
        <v>0</v>
      </c>
      <c r="L279" s="15">
        <v>2</v>
      </c>
      <c r="M279" s="15">
        <v>-1</v>
      </c>
      <c r="N279" s="17">
        <v>48.904755675984347</v>
      </c>
      <c r="O279" s="16">
        <v>125</v>
      </c>
      <c r="P279" s="16">
        <v>14</v>
      </c>
      <c r="Q279" s="24">
        <v>2.5000000000000002E-6</v>
      </c>
      <c r="R279" s="18">
        <v>600</v>
      </c>
      <c r="S279" s="16">
        <v>6.61</v>
      </c>
      <c r="T279" s="16">
        <v>0</v>
      </c>
      <c r="U279" s="16">
        <v>0</v>
      </c>
      <c r="V279" s="16">
        <v>0</v>
      </c>
      <c r="W279" s="18">
        <v>0</v>
      </c>
      <c r="X279" s="18">
        <v>4.2300000000000004</v>
      </c>
      <c r="Y279" s="16">
        <v>0</v>
      </c>
      <c r="Z279" s="18">
        <v>1.18</v>
      </c>
      <c r="AA279" s="18">
        <v>0.13</v>
      </c>
      <c r="AB279" s="18">
        <v>2.5999999999999999E-2</v>
      </c>
      <c r="AC279" s="18">
        <v>1.0999999999999999E-2</v>
      </c>
      <c r="AD279" s="18">
        <v>3.0000000000000001E-3</v>
      </c>
    </row>
    <row r="280" spans="1:30" x14ac:dyDescent="0.3">
      <c r="A280" s="15" t="s">
        <v>233</v>
      </c>
      <c r="B280" s="15" t="s">
        <v>139</v>
      </c>
      <c r="C280" s="15" t="s">
        <v>9</v>
      </c>
      <c r="D280" s="15">
        <v>25</v>
      </c>
      <c r="E280" s="15">
        <v>76</v>
      </c>
      <c r="F280" s="15">
        <v>2</v>
      </c>
      <c r="G280" s="16">
        <v>950</v>
      </c>
      <c r="H280" s="16">
        <v>1</v>
      </c>
      <c r="I280" s="15" t="s">
        <v>21</v>
      </c>
      <c r="J280" s="16">
        <v>530</v>
      </c>
      <c r="K280" s="16">
        <v>6</v>
      </c>
      <c r="L280" s="15">
        <v>2</v>
      </c>
      <c r="M280" s="15">
        <v>-1</v>
      </c>
      <c r="N280" s="17">
        <v>130.15608211604456</v>
      </c>
      <c r="O280" s="16">
        <v>450</v>
      </c>
      <c r="P280" s="16">
        <v>16</v>
      </c>
      <c r="Q280" s="24">
        <v>3.5700000000000001E-6</v>
      </c>
      <c r="R280" s="18">
        <v>550</v>
      </c>
      <c r="S280" s="16">
        <v>6.29</v>
      </c>
      <c r="T280" s="16">
        <v>0</v>
      </c>
      <c r="U280" s="16">
        <v>1.68</v>
      </c>
      <c r="V280" s="16">
        <v>0</v>
      </c>
      <c r="W280" s="18">
        <v>3.38</v>
      </c>
      <c r="X280" s="18">
        <v>0</v>
      </c>
      <c r="Y280" s="16">
        <v>0.24</v>
      </c>
      <c r="Z280" s="18">
        <v>0.05</v>
      </c>
      <c r="AA280" s="18">
        <v>0.03</v>
      </c>
      <c r="AB280" s="18">
        <v>0.01</v>
      </c>
      <c r="AC280" s="18">
        <v>0.05</v>
      </c>
      <c r="AD280" s="18">
        <v>0.01</v>
      </c>
    </row>
    <row r="281" spans="1:30" x14ac:dyDescent="0.3">
      <c r="A281" s="15" t="s">
        <v>234</v>
      </c>
      <c r="B281" s="15" t="s">
        <v>139</v>
      </c>
      <c r="C281" s="15" t="s">
        <v>9</v>
      </c>
      <c r="D281" s="15">
        <v>25</v>
      </c>
      <c r="E281" s="15">
        <v>76</v>
      </c>
      <c r="F281" s="15">
        <v>2</v>
      </c>
      <c r="G281" s="16">
        <v>950</v>
      </c>
      <c r="H281" s="16">
        <v>1</v>
      </c>
      <c r="I281" s="15" t="s">
        <v>21</v>
      </c>
      <c r="J281" s="16">
        <v>530</v>
      </c>
      <c r="K281" s="16">
        <v>6</v>
      </c>
      <c r="L281" s="15">
        <v>2</v>
      </c>
      <c r="M281" s="15">
        <v>-1</v>
      </c>
      <c r="N281" s="17">
        <v>130.15608211604456</v>
      </c>
      <c r="O281" s="16">
        <v>400</v>
      </c>
      <c r="P281" s="16">
        <v>17</v>
      </c>
      <c r="Q281" s="24">
        <v>2.9799999999999998E-6</v>
      </c>
      <c r="R281" s="18">
        <v>550</v>
      </c>
      <c r="S281" s="16">
        <v>6.29</v>
      </c>
      <c r="T281" s="16">
        <v>0</v>
      </c>
      <c r="U281" s="16">
        <v>1.68</v>
      </c>
      <c r="V281" s="16">
        <v>0</v>
      </c>
      <c r="W281" s="18">
        <v>3.38</v>
      </c>
      <c r="X281" s="18">
        <v>0</v>
      </c>
      <c r="Y281" s="16">
        <v>0.24</v>
      </c>
      <c r="Z281" s="18">
        <v>0.05</v>
      </c>
      <c r="AA281" s="18">
        <v>0.03</v>
      </c>
      <c r="AB281" s="18">
        <v>0.01</v>
      </c>
      <c r="AC281" s="18">
        <v>0.05</v>
      </c>
      <c r="AD281" s="18">
        <v>0.01</v>
      </c>
    </row>
    <row r="282" spans="1:30" x14ac:dyDescent="0.3">
      <c r="A282" s="15" t="s">
        <v>235</v>
      </c>
      <c r="B282" s="15" t="s">
        <v>139</v>
      </c>
      <c r="C282" s="15" t="s">
        <v>9</v>
      </c>
      <c r="D282" s="15">
        <v>25</v>
      </c>
      <c r="E282" s="15">
        <v>76</v>
      </c>
      <c r="F282" s="15">
        <v>2</v>
      </c>
      <c r="G282" s="16">
        <v>1050</v>
      </c>
      <c r="H282" s="16">
        <v>0.5</v>
      </c>
      <c r="I282" s="15" t="s">
        <v>21</v>
      </c>
      <c r="J282" s="16">
        <v>700</v>
      </c>
      <c r="K282" s="16">
        <v>2</v>
      </c>
      <c r="L282" s="15">
        <v>2</v>
      </c>
      <c r="M282" s="15">
        <v>-1</v>
      </c>
      <c r="N282" s="17">
        <v>174.60596850461431</v>
      </c>
      <c r="O282" s="16">
        <v>310</v>
      </c>
      <c r="P282" s="16">
        <v>18.489999999999998</v>
      </c>
      <c r="Q282" s="18">
        <v>0</v>
      </c>
      <c r="R282" s="18">
        <v>600</v>
      </c>
      <c r="S282" s="16">
        <v>5.7</v>
      </c>
      <c r="T282" s="16">
        <v>4.8</v>
      </c>
      <c r="U282" s="16">
        <v>2.2000000000000002</v>
      </c>
      <c r="V282" s="16">
        <v>0.69</v>
      </c>
      <c r="W282" s="18">
        <v>1</v>
      </c>
      <c r="X282" s="18">
        <v>0</v>
      </c>
      <c r="Y282" s="16">
        <v>0.31</v>
      </c>
      <c r="Z282" s="18">
        <v>0</v>
      </c>
      <c r="AA282" s="18">
        <v>0</v>
      </c>
      <c r="AB282" s="18">
        <v>0.04</v>
      </c>
      <c r="AC282" s="18">
        <v>0</v>
      </c>
      <c r="AD282" s="18">
        <v>0</v>
      </c>
    </row>
    <row r="283" spans="1:30" x14ac:dyDescent="0.3">
      <c r="A283" s="15" t="s">
        <v>236</v>
      </c>
      <c r="B283" s="15" t="s">
        <v>139</v>
      </c>
      <c r="C283" s="15" t="s">
        <v>9</v>
      </c>
      <c r="D283" s="15">
        <v>25</v>
      </c>
      <c r="E283" s="15">
        <v>76</v>
      </c>
      <c r="F283" s="15">
        <v>2</v>
      </c>
      <c r="G283" s="16">
        <v>0</v>
      </c>
      <c r="H283" s="16">
        <v>0</v>
      </c>
      <c r="I283" s="15" t="s">
        <v>21</v>
      </c>
      <c r="J283" s="16">
        <v>0</v>
      </c>
      <c r="K283" s="16">
        <v>0</v>
      </c>
      <c r="L283" s="15">
        <v>2</v>
      </c>
      <c r="M283" s="15">
        <v>-1</v>
      </c>
      <c r="N283" s="17">
        <v>48.904755675984347</v>
      </c>
      <c r="O283" s="16">
        <v>312</v>
      </c>
      <c r="P283" s="16">
        <v>20</v>
      </c>
      <c r="Q283" s="24">
        <v>3.2000000000000001E-7</v>
      </c>
      <c r="R283" s="18">
        <v>500</v>
      </c>
      <c r="S283" s="16">
        <v>6.61</v>
      </c>
      <c r="T283" s="16">
        <v>0</v>
      </c>
      <c r="U283" s="16">
        <v>0</v>
      </c>
      <c r="V283" s="16">
        <v>0</v>
      </c>
      <c r="W283" s="18">
        <v>0</v>
      </c>
      <c r="X283" s="18">
        <v>4.2300000000000004</v>
      </c>
      <c r="Y283" s="16">
        <v>0</v>
      </c>
      <c r="Z283" s="18">
        <v>1.18</v>
      </c>
      <c r="AA283" s="18">
        <v>0.13</v>
      </c>
      <c r="AB283" s="18">
        <v>2.5999999999999999E-2</v>
      </c>
      <c r="AC283" s="18">
        <v>1.0999999999999999E-2</v>
      </c>
      <c r="AD283" s="18">
        <v>3.0000000000000001E-3</v>
      </c>
    </row>
    <row r="284" spans="1:30" x14ac:dyDescent="0.3">
      <c r="A284" s="15" t="s">
        <v>237</v>
      </c>
      <c r="B284" s="15" t="s">
        <v>139</v>
      </c>
      <c r="C284" s="15" t="s">
        <v>9</v>
      </c>
      <c r="D284" s="15">
        <v>25</v>
      </c>
      <c r="E284" s="15">
        <v>76</v>
      </c>
      <c r="F284" s="15">
        <v>2</v>
      </c>
      <c r="G284" s="16">
        <v>950</v>
      </c>
      <c r="H284" s="16">
        <v>1</v>
      </c>
      <c r="I284" s="15" t="s">
        <v>21</v>
      </c>
      <c r="J284" s="16">
        <v>600</v>
      </c>
      <c r="K284" s="16">
        <v>24</v>
      </c>
      <c r="L284" s="15">
        <v>2</v>
      </c>
      <c r="M284" s="15">
        <v>-1</v>
      </c>
      <c r="N284" s="17">
        <v>130.85696349278345</v>
      </c>
      <c r="O284" s="16">
        <v>125</v>
      </c>
      <c r="P284" s="16">
        <v>22.07</v>
      </c>
      <c r="Q284" s="24">
        <v>2.0499999999999999E-6</v>
      </c>
      <c r="R284" s="18">
        <v>600</v>
      </c>
      <c r="S284" s="16">
        <v>6.33</v>
      </c>
      <c r="T284" s="16">
        <v>0</v>
      </c>
      <c r="U284" s="16">
        <v>0</v>
      </c>
      <c r="V284" s="16">
        <v>0</v>
      </c>
      <c r="W284" s="18">
        <v>0</v>
      </c>
      <c r="X284" s="18">
        <v>4</v>
      </c>
      <c r="Y284" s="16">
        <v>0</v>
      </c>
      <c r="Z284" s="18">
        <v>0.2</v>
      </c>
      <c r="AA284" s="18">
        <v>0.17</v>
      </c>
      <c r="AB284" s="18">
        <v>0.03</v>
      </c>
      <c r="AC284" s="18">
        <v>0.01</v>
      </c>
      <c r="AD284" s="18">
        <v>4.0000000000000001E-3</v>
      </c>
    </row>
    <row r="285" spans="1:30" x14ac:dyDescent="0.3">
      <c r="A285" s="15" t="s">
        <v>238</v>
      </c>
      <c r="B285" s="15" t="s">
        <v>139</v>
      </c>
      <c r="C285" s="15" t="s">
        <v>9</v>
      </c>
      <c r="D285" s="15">
        <v>25</v>
      </c>
      <c r="E285" s="15">
        <v>76</v>
      </c>
      <c r="F285" s="15">
        <v>2</v>
      </c>
      <c r="G285" s="16">
        <v>0</v>
      </c>
      <c r="H285" s="16">
        <v>0</v>
      </c>
      <c r="I285" s="15" t="s">
        <v>21</v>
      </c>
      <c r="J285" s="16">
        <v>1260</v>
      </c>
      <c r="K285" s="16">
        <v>4</v>
      </c>
      <c r="L285" s="15">
        <v>2</v>
      </c>
      <c r="M285" s="15">
        <v>-1</v>
      </c>
      <c r="N285" s="17">
        <v>87.807690439472196</v>
      </c>
      <c r="O285" s="16">
        <v>150</v>
      </c>
      <c r="P285" s="16">
        <v>22.33</v>
      </c>
      <c r="Q285" s="24">
        <v>4.8299999999999997E-7</v>
      </c>
      <c r="R285" s="18">
        <v>750</v>
      </c>
      <c r="S285" s="16">
        <v>48</v>
      </c>
      <c r="T285" s="16">
        <v>0</v>
      </c>
      <c r="U285" s="16">
        <v>0</v>
      </c>
      <c r="V285" s="16">
        <v>2</v>
      </c>
      <c r="W285" s="18">
        <v>0</v>
      </c>
      <c r="X285" s="18">
        <v>0</v>
      </c>
      <c r="Y285" s="16">
        <v>0</v>
      </c>
      <c r="Z285" s="18">
        <v>0</v>
      </c>
      <c r="AA285" s="18">
        <v>0</v>
      </c>
      <c r="AB285" s="18">
        <v>0</v>
      </c>
      <c r="AC285" s="18">
        <v>0</v>
      </c>
      <c r="AD285" s="18">
        <v>0</v>
      </c>
    </row>
    <row r="286" spans="1:30" x14ac:dyDescent="0.3">
      <c r="A286" s="15" t="s">
        <v>239</v>
      </c>
      <c r="B286" s="15" t="s">
        <v>139</v>
      </c>
      <c r="C286" s="15" t="s">
        <v>9</v>
      </c>
      <c r="D286" s="15">
        <v>25</v>
      </c>
      <c r="E286" s="15">
        <v>76</v>
      </c>
      <c r="F286" s="15">
        <v>2</v>
      </c>
      <c r="G286" s="16">
        <v>950</v>
      </c>
      <c r="H286" s="16">
        <v>1</v>
      </c>
      <c r="I286" s="15" t="s">
        <v>21</v>
      </c>
      <c r="J286" s="16">
        <v>530</v>
      </c>
      <c r="K286" s="16">
        <v>6</v>
      </c>
      <c r="L286" s="15">
        <v>2</v>
      </c>
      <c r="M286" s="15">
        <v>-1</v>
      </c>
      <c r="N286" s="17">
        <v>130.15608211604456</v>
      </c>
      <c r="O286" s="16">
        <v>350</v>
      </c>
      <c r="P286" s="16">
        <v>24</v>
      </c>
      <c r="Q286" s="24">
        <v>1.73E-6</v>
      </c>
      <c r="R286" s="18">
        <v>550</v>
      </c>
      <c r="S286" s="16">
        <v>6.29</v>
      </c>
      <c r="T286" s="16">
        <v>0</v>
      </c>
      <c r="U286" s="16">
        <v>1.68</v>
      </c>
      <c r="V286" s="16">
        <v>0</v>
      </c>
      <c r="W286" s="18">
        <v>3.38</v>
      </c>
      <c r="X286" s="18">
        <v>0</v>
      </c>
      <c r="Y286" s="16">
        <v>0.24</v>
      </c>
      <c r="Z286" s="18">
        <v>0.05</v>
      </c>
      <c r="AA286" s="18">
        <v>0.03</v>
      </c>
      <c r="AB286" s="18">
        <v>0.01</v>
      </c>
      <c r="AC286" s="18">
        <v>0.05</v>
      </c>
      <c r="AD286" s="18">
        <v>0.01</v>
      </c>
    </row>
    <row r="287" spans="1:30" x14ac:dyDescent="0.3">
      <c r="A287" s="15" t="s">
        <v>240</v>
      </c>
      <c r="B287" s="15" t="s">
        <v>139</v>
      </c>
      <c r="C287" s="15" t="s">
        <v>9</v>
      </c>
      <c r="D287" s="15">
        <v>25</v>
      </c>
      <c r="E287" s="15">
        <v>76</v>
      </c>
      <c r="F287" s="15">
        <v>2</v>
      </c>
      <c r="G287" s="16">
        <v>1050</v>
      </c>
      <c r="H287" s="16">
        <v>0.5</v>
      </c>
      <c r="I287" s="15" t="s">
        <v>21</v>
      </c>
      <c r="J287" s="16">
        <v>950</v>
      </c>
      <c r="K287" s="16">
        <v>1</v>
      </c>
      <c r="L287" s="15">
        <v>2</v>
      </c>
      <c r="M287" s="15">
        <v>-1</v>
      </c>
      <c r="N287" s="17">
        <v>115.97769428737872</v>
      </c>
      <c r="O287" s="16">
        <v>403</v>
      </c>
      <c r="P287" s="16">
        <v>24.76</v>
      </c>
      <c r="Q287" s="24">
        <v>3.9799999999999999E-7</v>
      </c>
      <c r="R287" s="18">
        <v>500</v>
      </c>
      <c r="S287" s="16">
        <v>6.61</v>
      </c>
      <c r="T287" s="16">
        <v>0</v>
      </c>
      <c r="U287" s="16">
        <v>0</v>
      </c>
      <c r="V287" s="16">
        <v>0</v>
      </c>
      <c r="W287" s="18">
        <v>0</v>
      </c>
      <c r="X287" s="18">
        <v>4.2300000000000004</v>
      </c>
      <c r="Y287" s="16">
        <v>0</v>
      </c>
      <c r="Z287" s="18">
        <v>1.18</v>
      </c>
      <c r="AA287" s="18">
        <v>0.13</v>
      </c>
      <c r="AB287" s="18">
        <v>2.5999999999999999E-2</v>
      </c>
      <c r="AC287" s="18">
        <v>1.0999999999999999E-2</v>
      </c>
      <c r="AD287" s="18">
        <v>3.0000000000000001E-3</v>
      </c>
    </row>
    <row r="288" spans="1:30" x14ac:dyDescent="0.3">
      <c r="A288" s="15" t="s">
        <v>241</v>
      </c>
      <c r="B288" s="15" t="s">
        <v>139</v>
      </c>
      <c r="C288" s="15" t="s">
        <v>9</v>
      </c>
      <c r="D288" s="15">
        <v>25</v>
      </c>
      <c r="E288" s="15">
        <v>76</v>
      </c>
      <c r="F288" s="15">
        <v>2</v>
      </c>
      <c r="G288" s="16">
        <v>0</v>
      </c>
      <c r="H288" s="16">
        <v>0</v>
      </c>
      <c r="I288" s="15" t="s">
        <v>21</v>
      </c>
      <c r="J288" s="16">
        <v>950</v>
      </c>
      <c r="K288" s="16">
        <v>1</v>
      </c>
      <c r="L288" s="15">
        <v>2</v>
      </c>
      <c r="M288" s="15">
        <v>-1</v>
      </c>
      <c r="N288" s="17">
        <v>89.057510095960126</v>
      </c>
      <c r="O288" s="16">
        <v>361</v>
      </c>
      <c r="P288" s="16">
        <v>28.19</v>
      </c>
      <c r="Q288" s="24">
        <v>9.64E-7</v>
      </c>
      <c r="R288" s="18">
        <v>500</v>
      </c>
      <c r="S288" s="16">
        <v>6.61</v>
      </c>
      <c r="T288" s="16">
        <v>0</v>
      </c>
      <c r="U288" s="16">
        <v>0</v>
      </c>
      <c r="V288" s="16">
        <v>0</v>
      </c>
      <c r="W288" s="18">
        <v>0</v>
      </c>
      <c r="X288" s="18">
        <v>4.2300000000000004</v>
      </c>
      <c r="Y288" s="16">
        <v>0</v>
      </c>
      <c r="Z288" s="18">
        <v>1.18</v>
      </c>
      <c r="AA288" s="18">
        <v>0.13</v>
      </c>
      <c r="AB288" s="18">
        <v>2.5999999999999999E-2</v>
      </c>
      <c r="AC288" s="18">
        <v>1.0999999999999999E-2</v>
      </c>
      <c r="AD288" s="18">
        <v>3.0000000000000001E-3</v>
      </c>
    </row>
    <row r="289" spans="1:30" x14ac:dyDescent="0.3">
      <c r="A289" s="15" t="s">
        <v>242</v>
      </c>
      <c r="B289" s="15" t="s">
        <v>139</v>
      </c>
      <c r="C289" s="15" t="s">
        <v>9</v>
      </c>
      <c r="D289" s="15">
        <v>25</v>
      </c>
      <c r="E289" s="15">
        <v>76</v>
      </c>
      <c r="F289" s="15">
        <v>2</v>
      </c>
      <c r="G289" s="16">
        <v>950</v>
      </c>
      <c r="H289" s="16">
        <v>1</v>
      </c>
      <c r="I289" s="15" t="s">
        <v>21</v>
      </c>
      <c r="J289" s="16">
        <v>530</v>
      </c>
      <c r="K289" s="16">
        <v>6</v>
      </c>
      <c r="L289" s="15">
        <v>2</v>
      </c>
      <c r="M289" s="15">
        <v>-1</v>
      </c>
      <c r="N289" s="17">
        <v>130.15608211604456</v>
      </c>
      <c r="O289" s="16">
        <v>300</v>
      </c>
      <c r="P289" s="16">
        <v>30</v>
      </c>
      <c r="Q289" s="24">
        <v>7.8100000000000002E-7</v>
      </c>
      <c r="R289" s="18">
        <v>550</v>
      </c>
      <c r="S289" s="16">
        <v>6.29</v>
      </c>
      <c r="T289" s="16">
        <v>0</v>
      </c>
      <c r="U289" s="16">
        <v>1.68</v>
      </c>
      <c r="V289" s="16">
        <v>0</v>
      </c>
      <c r="W289" s="18">
        <v>3.38</v>
      </c>
      <c r="X289" s="18">
        <v>0</v>
      </c>
      <c r="Y289" s="16">
        <v>0.24</v>
      </c>
      <c r="Z289" s="18">
        <v>0.05</v>
      </c>
      <c r="AA289" s="18">
        <v>0.03</v>
      </c>
      <c r="AB289" s="18">
        <v>0.01</v>
      </c>
      <c r="AC289" s="18">
        <v>0.05</v>
      </c>
      <c r="AD289" s="18">
        <v>0.01</v>
      </c>
    </row>
    <row r="290" spans="1:30" x14ac:dyDescent="0.3">
      <c r="A290" s="15" t="s">
        <v>243</v>
      </c>
      <c r="B290" s="15" t="s">
        <v>139</v>
      </c>
      <c r="C290" s="15" t="s">
        <v>9</v>
      </c>
      <c r="D290" s="15">
        <v>25</v>
      </c>
      <c r="E290" s="15">
        <v>76</v>
      </c>
      <c r="F290" s="15">
        <v>2</v>
      </c>
      <c r="G290" s="16">
        <v>0</v>
      </c>
      <c r="H290" s="16">
        <v>0</v>
      </c>
      <c r="I290" s="15" t="s">
        <v>21</v>
      </c>
      <c r="J290" s="16">
        <v>1050</v>
      </c>
      <c r="K290" s="16">
        <v>0.5</v>
      </c>
      <c r="L290" s="15">
        <v>2</v>
      </c>
      <c r="M290" s="15">
        <v>-1</v>
      </c>
      <c r="N290" s="17">
        <v>89.057510095960126</v>
      </c>
      <c r="O290" s="16">
        <v>125</v>
      </c>
      <c r="P290" s="16">
        <v>32.520000000000003</v>
      </c>
      <c r="Q290" s="24">
        <v>1.66E-6</v>
      </c>
      <c r="R290" s="18">
        <v>600</v>
      </c>
      <c r="S290" s="16">
        <v>6.33</v>
      </c>
      <c r="T290" s="16">
        <v>0</v>
      </c>
      <c r="U290" s="16">
        <v>0</v>
      </c>
      <c r="V290" s="16">
        <v>0</v>
      </c>
      <c r="W290" s="18">
        <v>0</v>
      </c>
      <c r="X290" s="18">
        <v>4</v>
      </c>
      <c r="Y290" s="16">
        <v>0</v>
      </c>
      <c r="Z290" s="18">
        <v>0.2</v>
      </c>
      <c r="AA290" s="18">
        <v>0.17</v>
      </c>
      <c r="AB290" s="18">
        <v>0.03</v>
      </c>
      <c r="AC290" s="18">
        <v>0.01</v>
      </c>
      <c r="AD290" s="18">
        <v>4.0000000000000001E-3</v>
      </c>
    </row>
    <row r="291" spans="1:30" x14ac:dyDescent="0.3">
      <c r="A291" s="15" t="s">
        <v>244</v>
      </c>
      <c r="B291" s="15" t="s">
        <v>139</v>
      </c>
      <c r="C291" s="15" t="s">
        <v>9</v>
      </c>
      <c r="D291" s="15">
        <v>25</v>
      </c>
      <c r="E291" s="15">
        <v>76</v>
      </c>
      <c r="F291" s="15">
        <v>2</v>
      </c>
      <c r="G291" s="16">
        <v>0</v>
      </c>
      <c r="H291" s="16">
        <v>0</v>
      </c>
      <c r="I291" s="15" t="s">
        <v>21</v>
      </c>
      <c r="J291" s="16">
        <v>720</v>
      </c>
      <c r="K291" s="16">
        <v>0</v>
      </c>
      <c r="L291" s="15">
        <v>2</v>
      </c>
      <c r="M291" s="15">
        <v>-1</v>
      </c>
      <c r="N291" s="17">
        <v>93.864986339386263</v>
      </c>
      <c r="O291" s="16">
        <v>489</v>
      </c>
      <c r="P291" s="16">
        <v>36</v>
      </c>
      <c r="Q291" s="24">
        <v>9.6899999999999997E-5</v>
      </c>
      <c r="R291" s="18">
        <v>455</v>
      </c>
      <c r="S291" s="16">
        <v>6.51</v>
      </c>
      <c r="T291" s="16">
        <v>0</v>
      </c>
      <c r="U291" s="16">
        <v>0</v>
      </c>
      <c r="V291" s="16">
        <v>0</v>
      </c>
      <c r="W291" s="18">
        <v>0</v>
      </c>
      <c r="X291" s="18">
        <v>4.08</v>
      </c>
      <c r="Y291" s="16">
        <v>0</v>
      </c>
      <c r="Z291" s="18">
        <v>0.16</v>
      </c>
      <c r="AA291" s="18">
        <v>0.19</v>
      </c>
      <c r="AB291" s="18">
        <v>0.01</v>
      </c>
      <c r="AC291" s="18">
        <v>5.0000000000000001E-3</v>
      </c>
      <c r="AD291" s="18">
        <v>1.6000000000000001E-3</v>
      </c>
    </row>
    <row r="292" spans="1:30" x14ac:dyDescent="0.3">
      <c r="A292" s="15" t="s">
        <v>245</v>
      </c>
      <c r="B292" s="15" t="s">
        <v>139</v>
      </c>
      <c r="C292" s="15" t="s">
        <v>9</v>
      </c>
      <c r="D292" s="15">
        <v>25</v>
      </c>
      <c r="E292" s="15">
        <v>76</v>
      </c>
      <c r="F292" s="15">
        <v>2</v>
      </c>
      <c r="G292" s="16">
        <v>1050</v>
      </c>
      <c r="H292" s="16">
        <v>0.5</v>
      </c>
      <c r="I292" s="15" t="s">
        <v>21</v>
      </c>
      <c r="J292" s="16">
        <v>700</v>
      </c>
      <c r="K292" s="16">
        <v>2</v>
      </c>
      <c r="L292" s="15">
        <v>2</v>
      </c>
      <c r="M292" s="15">
        <v>-1</v>
      </c>
      <c r="N292" s="17">
        <v>174.60596850461431</v>
      </c>
      <c r="O292" s="16">
        <v>310</v>
      </c>
      <c r="P292" s="16">
        <v>37.17</v>
      </c>
      <c r="Q292" s="18">
        <v>0</v>
      </c>
      <c r="R292" s="18">
        <v>600</v>
      </c>
      <c r="S292" s="16">
        <v>5.7</v>
      </c>
      <c r="T292" s="16">
        <v>4.8</v>
      </c>
      <c r="U292" s="16">
        <v>2.2000000000000002</v>
      </c>
      <c r="V292" s="16">
        <v>0.69</v>
      </c>
      <c r="W292" s="18">
        <v>1</v>
      </c>
      <c r="X292" s="18">
        <v>0</v>
      </c>
      <c r="Y292" s="16">
        <v>0.31</v>
      </c>
      <c r="Z292" s="18">
        <v>0</v>
      </c>
      <c r="AA292" s="18">
        <v>0</v>
      </c>
      <c r="AB292" s="18">
        <v>0.04</v>
      </c>
      <c r="AC292" s="18">
        <v>0</v>
      </c>
      <c r="AD292" s="18">
        <v>0</v>
      </c>
    </row>
    <row r="293" spans="1:30" x14ac:dyDescent="0.3">
      <c r="A293" s="15" t="s">
        <v>246</v>
      </c>
      <c r="B293" s="15" t="s">
        <v>139</v>
      </c>
      <c r="C293" s="15" t="s">
        <v>9</v>
      </c>
      <c r="D293" s="15">
        <v>25</v>
      </c>
      <c r="E293" s="15">
        <v>76</v>
      </c>
      <c r="F293" s="15">
        <v>2</v>
      </c>
      <c r="G293" s="16">
        <v>0</v>
      </c>
      <c r="H293" s="16">
        <v>0</v>
      </c>
      <c r="I293" s="15" t="s">
        <v>21</v>
      </c>
      <c r="J293" s="16">
        <v>950</v>
      </c>
      <c r="K293" s="16">
        <v>1</v>
      </c>
      <c r="L293" s="15">
        <v>2</v>
      </c>
      <c r="M293" s="15">
        <v>-1</v>
      </c>
      <c r="N293" s="17">
        <v>89.057510095960126</v>
      </c>
      <c r="O293" s="16">
        <v>97</v>
      </c>
      <c r="P293" s="16">
        <v>40.130000000000003</v>
      </c>
      <c r="Q293" s="24">
        <v>9.8100000000000001E-7</v>
      </c>
      <c r="R293" s="18">
        <v>600</v>
      </c>
      <c r="S293" s="16">
        <v>6.61</v>
      </c>
      <c r="T293" s="16">
        <v>0</v>
      </c>
      <c r="U293" s="16">
        <v>0</v>
      </c>
      <c r="V293" s="16">
        <v>0</v>
      </c>
      <c r="W293" s="18">
        <v>0</v>
      </c>
      <c r="X293" s="18">
        <v>4.2300000000000004</v>
      </c>
      <c r="Y293" s="16">
        <v>0</v>
      </c>
      <c r="Z293" s="18">
        <v>1.18</v>
      </c>
      <c r="AA293" s="18">
        <v>0.13</v>
      </c>
      <c r="AB293" s="18">
        <v>2.5999999999999999E-2</v>
      </c>
      <c r="AC293" s="18">
        <v>1.0999999999999999E-2</v>
      </c>
      <c r="AD293" s="18">
        <v>3.0000000000000001E-3</v>
      </c>
    </row>
    <row r="294" spans="1:30" x14ac:dyDescent="0.3">
      <c r="A294" s="15" t="s">
        <v>247</v>
      </c>
      <c r="B294" s="15" t="s">
        <v>139</v>
      </c>
      <c r="C294" s="15" t="s">
        <v>9</v>
      </c>
      <c r="D294" s="15">
        <v>25</v>
      </c>
      <c r="E294" s="15">
        <v>76</v>
      </c>
      <c r="F294" s="15">
        <v>2</v>
      </c>
      <c r="G294" s="16">
        <v>0</v>
      </c>
      <c r="H294" s="16">
        <v>0</v>
      </c>
      <c r="I294" s="15" t="s">
        <v>21</v>
      </c>
      <c r="J294" s="16">
        <v>900</v>
      </c>
      <c r="K294" s="16">
        <v>2</v>
      </c>
      <c r="L294" s="15">
        <v>2</v>
      </c>
      <c r="M294" s="15">
        <v>-1</v>
      </c>
      <c r="N294" s="17">
        <v>87.807690439472196</v>
      </c>
      <c r="O294" s="16">
        <v>300</v>
      </c>
      <c r="P294" s="16">
        <v>46.66</v>
      </c>
      <c r="Q294" s="24">
        <v>2.7000000000000001E-7</v>
      </c>
      <c r="R294" s="18">
        <v>500</v>
      </c>
      <c r="S294" s="16">
        <v>6</v>
      </c>
      <c r="T294" s="16">
        <v>0</v>
      </c>
      <c r="U294" s="16">
        <v>0</v>
      </c>
      <c r="V294" s="16">
        <v>0</v>
      </c>
      <c r="W294" s="18">
        <v>0</v>
      </c>
      <c r="X294" s="18">
        <v>4</v>
      </c>
      <c r="Y294" s="16">
        <v>0</v>
      </c>
      <c r="Z294" s="18">
        <v>0.25</v>
      </c>
      <c r="AA294" s="18">
        <v>0.2</v>
      </c>
      <c r="AB294" s="18">
        <v>0.08</v>
      </c>
      <c r="AC294" s="18">
        <v>0.05</v>
      </c>
      <c r="AD294" s="18">
        <v>0.01</v>
      </c>
    </row>
    <row r="295" spans="1:30" x14ac:dyDescent="0.3">
      <c r="A295" s="15" t="s">
        <v>248</v>
      </c>
      <c r="B295" s="15" t="s">
        <v>139</v>
      </c>
      <c r="C295" s="15" t="s">
        <v>9</v>
      </c>
      <c r="D295" s="15">
        <v>25</v>
      </c>
      <c r="E295" s="15">
        <v>76</v>
      </c>
      <c r="F295" s="15">
        <v>2</v>
      </c>
      <c r="G295" s="16">
        <v>0</v>
      </c>
      <c r="H295" s="16">
        <v>0</v>
      </c>
      <c r="I295" s="15" t="s">
        <v>21</v>
      </c>
      <c r="J295" s="16">
        <v>1260</v>
      </c>
      <c r="K295" s="16">
        <v>4</v>
      </c>
      <c r="L295" s="15">
        <v>2</v>
      </c>
      <c r="M295" s="15">
        <v>-1</v>
      </c>
      <c r="N295" s="17">
        <v>87.807690439472196</v>
      </c>
      <c r="O295" s="16">
        <v>175</v>
      </c>
      <c r="P295" s="16">
        <v>46.82</v>
      </c>
      <c r="Q295" s="24">
        <v>5.1799999999999995E-7</v>
      </c>
      <c r="R295" s="18">
        <v>750</v>
      </c>
      <c r="S295" s="16">
        <v>48</v>
      </c>
      <c r="T295" s="16">
        <v>0</v>
      </c>
      <c r="U295" s="16">
        <v>0</v>
      </c>
      <c r="V295" s="16">
        <v>2</v>
      </c>
      <c r="W295" s="18">
        <v>0</v>
      </c>
      <c r="X295" s="18">
        <v>0</v>
      </c>
      <c r="Y295" s="16">
        <v>0</v>
      </c>
      <c r="Z295" s="18">
        <v>0</v>
      </c>
      <c r="AA295" s="18">
        <v>0</v>
      </c>
      <c r="AB295" s="18">
        <v>0</v>
      </c>
      <c r="AC295" s="18">
        <v>0</v>
      </c>
      <c r="AD295" s="18">
        <v>0</v>
      </c>
    </row>
    <row r="296" spans="1:30" x14ac:dyDescent="0.3">
      <c r="A296" s="15" t="s">
        <v>249</v>
      </c>
      <c r="B296" s="15" t="s">
        <v>139</v>
      </c>
      <c r="C296" s="15" t="s">
        <v>9</v>
      </c>
      <c r="D296" s="15">
        <v>25</v>
      </c>
      <c r="E296" s="15">
        <v>76</v>
      </c>
      <c r="F296" s="15">
        <v>2</v>
      </c>
      <c r="G296" s="16">
        <v>1040</v>
      </c>
      <c r="H296" s="16">
        <v>1</v>
      </c>
      <c r="I296" s="15" t="s">
        <v>21</v>
      </c>
      <c r="J296" s="16">
        <v>0</v>
      </c>
      <c r="K296" s="16">
        <v>0</v>
      </c>
      <c r="L296" s="15">
        <v>2</v>
      </c>
      <c r="M296" s="15">
        <v>-1</v>
      </c>
      <c r="N296" s="17">
        <v>64.724946907030699</v>
      </c>
      <c r="O296" s="16">
        <v>100</v>
      </c>
      <c r="P296" s="16">
        <v>47.73</v>
      </c>
      <c r="Q296" s="24">
        <v>4.1999999999999999E-8</v>
      </c>
      <c r="R296" s="18">
        <v>500</v>
      </c>
      <c r="S296" s="16">
        <v>5.5</v>
      </c>
      <c r="T296" s="16">
        <v>0</v>
      </c>
      <c r="U296" s="16">
        <v>0</v>
      </c>
      <c r="V296" s="16">
        <v>0</v>
      </c>
      <c r="W296" s="18">
        <v>0</v>
      </c>
      <c r="X296" s="18">
        <v>3.87</v>
      </c>
      <c r="Y296" s="16">
        <v>0</v>
      </c>
      <c r="Z296" s="18">
        <v>0.22</v>
      </c>
      <c r="AA296" s="18">
        <v>0.2</v>
      </c>
      <c r="AB296" s="18">
        <v>0.08</v>
      </c>
      <c r="AC296" s="18">
        <v>0.05</v>
      </c>
      <c r="AD296" s="18">
        <v>0.4</v>
      </c>
    </row>
    <row r="297" spans="1:30" x14ac:dyDescent="0.3">
      <c r="A297" s="15" t="s">
        <v>250</v>
      </c>
      <c r="B297" s="15" t="s">
        <v>139</v>
      </c>
      <c r="C297" s="15" t="s">
        <v>9</v>
      </c>
      <c r="D297" s="15">
        <v>25</v>
      </c>
      <c r="E297" s="15">
        <v>76</v>
      </c>
      <c r="F297" s="15">
        <v>2</v>
      </c>
      <c r="G297" s="16">
        <v>1040</v>
      </c>
      <c r="H297" s="16">
        <v>1</v>
      </c>
      <c r="I297" s="15" t="s">
        <v>21</v>
      </c>
      <c r="J297" s="16">
        <v>0</v>
      </c>
      <c r="K297" s="16">
        <v>0</v>
      </c>
      <c r="L297" s="15">
        <v>2</v>
      </c>
      <c r="M297" s="15">
        <v>-1</v>
      </c>
      <c r="N297" s="17">
        <v>64.724946907030699</v>
      </c>
      <c r="O297" s="16">
        <v>140</v>
      </c>
      <c r="P297" s="16">
        <v>47.81</v>
      </c>
      <c r="Q297" s="24">
        <v>2.1199999999999999E-7</v>
      </c>
      <c r="R297" s="18">
        <v>500</v>
      </c>
      <c r="S297" s="16">
        <v>5.5</v>
      </c>
      <c r="T297" s="16">
        <v>0</v>
      </c>
      <c r="U297" s="16">
        <v>0</v>
      </c>
      <c r="V297" s="16">
        <v>0</v>
      </c>
      <c r="W297" s="18">
        <v>0</v>
      </c>
      <c r="X297" s="18">
        <v>3.87</v>
      </c>
      <c r="Y297" s="16">
        <v>0</v>
      </c>
      <c r="Z297" s="18">
        <v>0.22</v>
      </c>
      <c r="AA297" s="18">
        <v>0.2</v>
      </c>
      <c r="AB297" s="18">
        <v>0.08</v>
      </c>
      <c r="AC297" s="18">
        <v>0.05</v>
      </c>
      <c r="AD297" s="18">
        <v>0.4</v>
      </c>
    </row>
    <row r="298" spans="1:30" x14ac:dyDescent="0.3">
      <c r="A298" s="15" t="s">
        <v>251</v>
      </c>
      <c r="B298" s="15" t="s">
        <v>139</v>
      </c>
      <c r="C298" s="15" t="s">
        <v>9</v>
      </c>
      <c r="D298" s="15">
        <v>25</v>
      </c>
      <c r="E298" s="15">
        <v>76</v>
      </c>
      <c r="F298" s="15">
        <v>2</v>
      </c>
      <c r="G298" s="16">
        <v>1040</v>
      </c>
      <c r="H298" s="16">
        <v>1</v>
      </c>
      <c r="I298" s="15" t="s">
        <v>21</v>
      </c>
      <c r="J298" s="16">
        <v>0</v>
      </c>
      <c r="K298" s="16">
        <v>0</v>
      </c>
      <c r="L298" s="15">
        <v>2</v>
      </c>
      <c r="M298" s="15">
        <v>-1</v>
      </c>
      <c r="N298" s="17">
        <v>64.724946907030699</v>
      </c>
      <c r="O298" s="16">
        <v>80</v>
      </c>
      <c r="P298" s="16">
        <v>47.81</v>
      </c>
      <c r="Q298" s="24">
        <v>1.8399999999999999E-8</v>
      </c>
      <c r="R298" s="18">
        <v>500</v>
      </c>
      <c r="S298" s="16">
        <v>5.5</v>
      </c>
      <c r="T298" s="16">
        <v>0</v>
      </c>
      <c r="U298" s="16">
        <v>0</v>
      </c>
      <c r="V298" s="16">
        <v>0</v>
      </c>
      <c r="W298" s="18">
        <v>0</v>
      </c>
      <c r="X298" s="18">
        <v>3.87</v>
      </c>
      <c r="Y298" s="16">
        <v>0</v>
      </c>
      <c r="Z298" s="18">
        <v>0.22</v>
      </c>
      <c r="AA298" s="18">
        <v>0.2</v>
      </c>
      <c r="AB298" s="18">
        <v>0.08</v>
      </c>
      <c r="AC298" s="18">
        <v>0.05</v>
      </c>
      <c r="AD298" s="18">
        <v>0.4</v>
      </c>
    </row>
    <row r="299" spans="1:30" x14ac:dyDescent="0.3">
      <c r="A299" s="15" t="s">
        <v>252</v>
      </c>
      <c r="B299" s="15" t="s">
        <v>139</v>
      </c>
      <c r="C299" s="15" t="s">
        <v>9</v>
      </c>
      <c r="D299" s="15">
        <v>25</v>
      </c>
      <c r="E299" s="15">
        <v>76</v>
      </c>
      <c r="F299" s="15">
        <v>2</v>
      </c>
      <c r="G299" s="16">
        <v>1040</v>
      </c>
      <c r="H299" s="16">
        <v>1</v>
      </c>
      <c r="I299" s="15" t="s">
        <v>21</v>
      </c>
      <c r="J299" s="16">
        <v>0</v>
      </c>
      <c r="K299" s="16">
        <v>0</v>
      </c>
      <c r="L299" s="15">
        <v>2</v>
      </c>
      <c r="M299" s="15">
        <v>-1</v>
      </c>
      <c r="N299" s="17">
        <v>64.724946907030699</v>
      </c>
      <c r="O299" s="16">
        <v>100</v>
      </c>
      <c r="P299" s="16">
        <v>47.9</v>
      </c>
      <c r="Q299" s="24">
        <v>8.5500000000000005E-8</v>
      </c>
      <c r="R299" s="18">
        <v>500</v>
      </c>
      <c r="S299" s="16">
        <v>5.5</v>
      </c>
      <c r="T299" s="16">
        <v>0</v>
      </c>
      <c r="U299" s="16">
        <v>0</v>
      </c>
      <c r="V299" s="16">
        <v>0</v>
      </c>
      <c r="W299" s="18">
        <v>0</v>
      </c>
      <c r="X299" s="18">
        <v>3.87</v>
      </c>
      <c r="Y299" s="16">
        <v>0</v>
      </c>
      <c r="Z299" s="18">
        <v>0.22</v>
      </c>
      <c r="AA299" s="18">
        <v>0.2</v>
      </c>
      <c r="AB299" s="18">
        <v>0.08</v>
      </c>
      <c r="AC299" s="18">
        <v>0.05</v>
      </c>
      <c r="AD299" s="18">
        <v>0.4</v>
      </c>
    </row>
    <row r="300" spans="1:30" x14ac:dyDescent="0.3">
      <c r="A300" s="15" t="s">
        <v>253</v>
      </c>
      <c r="B300" s="15" t="s">
        <v>139</v>
      </c>
      <c r="C300" s="15" t="s">
        <v>9</v>
      </c>
      <c r="D300" s="15">
        <v>25</v>
      </c>
      <c r="E300" s="15">
        <v>76</v>
      </c>
      <c r="F300" s="15">
        <v>2</v>
      </c>
      <c r="G300" s="16">
        <v>1040</v>
      </c>
      <c r="H300" s="16">
        <v>1</v>
      </c>
      <c r="I300" s="15" t="s">
        <v>21</v>
      </c>
      <c r="J300" s="16">
        <v>0</v>
      </c>
      <c r="K300" s="16">
        <v>0</v>
      </c>
      <c r="L300" s="15">
        <v>2</v>
      </c>
      <c r="M300" s="15">
        <v>-1</v>
      </c>
      <c r="N300" s="17">
        <v>64.724946907030699</v>
      </c>
      <c r="O300" s="16">
        <v>120</v>
      </c>
      <c r="P300" s="16">
        <v>47.98</v>
      </c>
      <c r="Q300" s="24">
        <v>1.49E-7</v>
      </c>
      <c r="R300" s="18">
        <v>500</v>
      </c>
      <c r="S300" s="16">
        <v>5.5</v>
      </c>
      <c r="T300" s="16">
        <v>0</v>
      </c>
      <c r="U300" s="16">
        <v>0</v>
      </c>
      <c r="V300" s="16">
        <v>0</v>
      </c>
      <c r="W300" s="18">
        <v>0</v>
      </c>
      <c r="X300" s="18">
        <v>3.87</v>
      </c>
      <c r="Y300" s="16">
        <v>0</v>
      </c>
      <c r="Z300" s="18">
        <v>0.22</v>
      </c>
      <c r="AA300" s="18">
        <v>0.2</v>
      </c>
      <c r="AB300" s="18">
        <v>0.08</v>
      </c>
      <c r="AC300" s="18">
        <v>0.05</v>
      </c>
      <c r="AD300" s="18">
        <v>0.4</v>
      </c>
    </row>
    <row r="301" spans="1:30" x14ac:dyDescent="0.3">
      <c r="A301" s="15" t="s">
        <v>254</v>
      </c>
      <c r="B301" s="15" t="s">
        <v>139</v>
      </c>
      <c r="C301" s="15" t="s">
        <v>9</v>
      </c>
      <c r="D301" s="15">
        <v>25</v>
      </c>
      <c r="E301" s="15">
        <v>76</v>
      </c>
      <c r="F301" s="15">
        <v>2</v>
      </c>
      <c r="G301" s="16">
        <v>1040</v>
      </c>
      <c r="H301" s="16">
        <v>1</v>
      </c>
      <c r="I301" s="15" t="s">
        <v>21</v>
      </c>
      <c r="J301" s="16">
        <v>0</v>
      </c>
      <c r="K301" s="16">
        <v>0</v>
      </c>
      <c r="L301" s="15">
        <v>2</v>
      </c>
      <c r="M301" s="15">
        <v>-1</v>
      </c>
      <c r="N301" s="17">
        <v>64.724946907030699</v>
      </c>
      <c r="O301" s="16">
        <v>140</v>
      </c>
      <c r="P301" s="16">
        <v>47.99</v>
      </c>
      <c r="Q301" s="24">
        <v>1.2100000000000001E-7</v>
      </c>
      <c r="R301" s="18">
        <v>500</v>
      </c>
      <c r="S301" s="16">
        <v>5.5</v>
      </c>
      <c r="T301" s="16">
        <v>0</v>
      </c>
      <c r="U301" s="16">
        <v>0</v>
      </c>
      <c r="V301" s="16">
        <v>0</v>
      </c>
      <c r="W301" s="18">
        <v>0</v>
      </c>
      <c r="X301" s="18">
        <v>3.87</v>
      </c>
      <c r="Y301" s="16">
        <v>0</v>
      </c>
      <c r="Z301" s="18">
        <v>0.22</v>
      </c>
      <c r="AA301" s="18">
        <v>0.2</v>
      </c>
      <c r="AB301" s="18">
        <v>0.08</v>
      </c>
      <c r="AC301" s="18">
        <v>0.05</v>
      </c>
      <c r="AD301" s="18">
        <v>0.4</v>
      </c>
    </row>
    <row r="302" spans="1:30" x14ac:dyDescent="0.3">
      <c r="A302" s="15" t="s">
        <v>255</v>
      </c>
      <c r="B302" s="15" t="s">
        <v>139</v>
      </c>
      <c r="C302" s="15" t="s">
        <v>9</v>
      </c>
      <c r="D302" s="15">
        <v>25</v>
      </c>
      <c r="E302" s="15">
        <v>76</v>
      </c>
      <c r="F302" s="15">
        <v>2</v>
      </c>
      <c r="G302" s="16">
        <v>1040</v>
      </c>
      <c r="H302" s="16">
        <v>1</v>
      </c>
      <c r="I302" s="15" t="s">
        <v>21</v>
      </c>
      <c r="J302" s="16">
        <v>0</v>
      </c>
      <c r="K302" s="16">
        <v>0</v>
      </c>
      <c r="L302" s="15">
        <v>2</v>
      </c>
      <c r="M302" s="15">
        <v>-1</v>
      </c>
      <c r="N302" s="17">
        <v>64.724946907030699</v>
      </c>
      <c r="O302" s="16">
        <v>120</v>
      </c>
      <c r="P302" s="16">
        <v>48.07</v>
      </c>
      <c r="Q302" s="24">
        <v>5.2700000000000002E-8</v>
      </c>
      <c r="R302" s="18">
        <v>500</v>
      </c>
      <c r="S302" s="16">
        <v>5.5</v>
      </c>
      <c r="T302" s="16">
        <v>0</v>
      </c>
      <c r="U302" s="16">
        <v>0</v>
      </c>
      <c r="V302" s="16">
        <v>0</v>
      </c>
      <c r="W302" s="18">
        <v>0</v>
      </c>
      <c r="X302" s="18">
        <v>3.87</v>
      </c>
      <c r="Y302" s="16">
        <v>0</v>
      </c>
      <c r="Z302" s="18">
        <v>0.22</v>
      </c>
      <c r="AA302" s="18">
        <v>0.2</v>
      </c>
      <c r="AB302" s="18">
        <v>0.08</v>
      </c>
      <c r="AC302" s="18">
        <v>0.05</v>
      </c>
      <c r="AD302" s="18">
        <v>0.4</v>
      </c>
    </row>
    <row r="303" spans="1:30" x14ac:dyDescent="0.3">
      <c r="A303" s="15" t="s">
        <v>256</v>
      </c>
      <c r="B303" s="15" t="s">
        <v>139</v>
      </c>
      <c r="C303" s="15" t="s">
        <v>9</v>
      </c>
      <c r="D303" s="15">
        <v>25</v>
      </c>
      <c r="E303" s="15">
        <v>76</v>
      </c>
      <c r="F303" s="15">
        <v>2</v>
      </c>
      <c r="G303" s="16">
        <v>1040</v>
      </c>
      <c r="H303" s="16">
        <v>1</v>
      </c>
      <c r="I303" s="15" t="s">
        <v>21</v>
      </c>
      <c r="J303" s="16">
        <v>0</v>
      </c>
      <c r="K303" s="16">
        <v>0</v>
      </c>
      <c r="L303" s="15">
        <v>2</v>
      </c>
      <c r="M303" s="15">
        <v>-1</v>
      </c>
      <c r="N303" s="17">
        <v>64.724946907030699</v>
      </c>
      <c r="O303" s="16">
        <v>80</v>
      </c>
      <c r="P303" s="16">
        <v>49.24</v>
      </c>
      <c r="Q303" s="24">
        <v>7.1200000000000002E-8</v>
      </c>
      <c r="R303" s="18">
        <v>500</v>
      </c>
      <c r="S303" s="16">
        <v>5.5</v>
      </c>
      <c r="T303" s="16">
        <v>0</v>
      </c>
      <c r="U303" s="16">
        <v>0</v>
      </c>
      <c r="V303" s="16">
        <v>0</v>
      </c>
      <c r="W303" s="18">
        <v>0</v>
      </c>
      <c r="X303" s="18">
        <v>3.87</v>
      </c>
      <c r="Y303" s="16">
        <v>0</v>
      </c>
      <c r="Z303" s="18">
        <v>0.22</v>
      </c>
      <c r="AA303" s="18">
        <v>0.2</v>
      </c>
      <c r="AB303" s="18">
        <v>0.08</v>
      </c>
      <c r="AC303" s="18">
        <v>0.05</v>
      </c>
      <c r="AD303" s="18">
        <v>0.4</v>
      </c>
    </row>
    <row r="304" spans="1:30" x14ac:dyDescent="0.3">
      <c r="A304" s="15" t="s">
        <v>257</v>
      </c>
      <c r="B304" s="15" t="s">
        <v>139</v>
      </c>
      <c r="C304" s="15" t="s">
        <v>9</v>
      </c>
      <c r="D304" s="15">
        <v>25</v>
      </c>
      <c r="E304" s="15">
        <v>76</v>
      </c>
      <c r="F304" s="15">
        <v>2</v>
      </c>
      <c r="G304" s="16">
        <v>0</v>
      </c>
      <c r="H304" s="16">
        <v>0</v>
      </c>
      <c r="I304" s="15" t="s">
        <v>21</v>
      </c>
      <c r="J304" s="16">
        <v>0</v>
      </c>
      <c r="K304" s="16">
        <v>0</v>
      </c>
      <c r="L304" s="15">
        <v>2</v>
      </c>
      <c r="M304" s="15">
        <v>-1</v>
      </c>
      <c r="N304" s="17">
        <v>48.904755675984347</v>
      </c>
      <c r="O304" s="16">
        <v>241</v>
      </c>
      <c r="P304" s="16">
        <v>50</v>
      </c>
      <c r="Q304" s="24">
        <v>5.8999999999999998E-5</v>
      </c>
      <c r="R304" s="18">
        <v>538</v>
      </c>
      <c r="S304" s="16">
        <v>6</v>
      </c>
      <c r="T304" s="16">
        <v>0</v>
      </c>
      <c r="U304" s="16">
        <v>0</v>
      </c>
      <c r="V304" s="16">
        <v>0</v>
      </c>
      <c r="W304" s="18">
        <v>0</v>
      </c>
      <c r="X304" s="18">
        <v>4</v>
      </c>
      <c r="Y304" s="16">
        <v>0</v>
      </c>
      <c r="Z304" s="18">
        <v>0.25</v>
      </c>
      <c r="AA304" s="18">
        <v>0.2</v>
      </c>
      <c r="AB304" s="18">
        <v>0.08</v>
      </c>
      <c r="AC304" s="18">
        <v>0.05</v>
      </c>
      <c r="AD304" s="18">
        <v>0.01</v>
      </c>
    </row>
    <row r="305" spans="1:30" x14ac:dyDescent="0.3">
      <c r="A305" s="15" t="s">
        <v>258</v>
      </c>
      <c r="B305" s="15" t="s">
        <v>139</v>
      </c>
      <c r="C305" s="15" t="s">
        <v>9</v>
      </c>
      <c r="D305" s="15">
        <v>25</v>
      </c>
      <c r="E305" s="15">
        <v>76</v>
      </c>
      <c r="F305" s="15">
        <v>2</v>
      </c>
      <c r="G305" s="16">
        <v>0</v>
      </c>
      <c r="H305" s="16">
        <v>0</v>
      </c>
      <c r="I305" s="15" t="s">
        <v>21</v>
      </c>
      <c r="J305" s="16">
        <v>0</v>
      </c>
      <c r="K305" s="16">
        <v>0</v>
      </c>
      <c r="L305" s="15">
        <v>2</v>
      </c>
      <c r="M305" s="15">
        <v>-1</v>
      </c>
      <c r="N305" s="17">
        <v>48.642817514098439</v>
      </c>
      <c r="O305" s="16">
        <v>300</v>
      </c>
      <c r="P305" s="16">
        <v>50</v>
      </c>
      <c r="Q305" s="24">
        <v>2.8299999999999998E-7</v>
      </c>
      <c r="R305" s="18">
        <v>500</v>
      </c>
      <c r="S305" s="16">
        <v>6.29</v>
      </c>
      <c r="T305" s="16">
        <v>0</v>
      </c>
      <c r="U305" s="16">
        <v>1.68</v>
      </c>
      <c r="V305" s="16">
        <v>0</v>
      </c>
      <c r="W305" s="18">
        <v>3.38</v>
      </c>
      <c r="X305" s="18">
        <v>0</v>
      </c>
      <c r="Y305" s="16">
        <v>0.24</v>
      </c>
      <c r="Z305" s="18">
        <v>0.05</v>
      </c>
      <c r="AA305" s="18">
        <v>0.03</v>
      </c>
      <c r="AB305" s="18">
        <v>0.01</v>
      </c>
      <c r="AC305" s="18">
        <v>0.05</v>
      </c>
      <c r="AD305" s="18">
        <v>0.01</v>
      </c>
    </row>
    <row r="306" spans="1:30" x14ac:dyDescent="0.3">
      <c r="A306" s="15" t="s">
        <v>259</v>
      </c>
      <c r="B306" s="15" t="s">
        <v>139</v>
      </c>
      <c r="C306" s="15" t="s">
        <v>9</v>
      </c>
      <c r="D306" s="15">
        <v>25</v>
      </c>
      <c r="E306" s="15">
        <v>76</v>
      </c>
      <c r="F306" s="15">
        <v>2</v>
      </c>
      <c r="G306" s="16">
        <v>950</v>
      </c>
      <c r="H306" s="16">
        <v>1</v>
      </c>
      <c r="I306" s="15" t="s">
        <v>21</v>
      </c>
      <c r="J306" s="16">
        <v>530</v>
      </c>
      <c r="K306" s="16">
        <v>6</v>
      </c>
      <c r="L306" s="15">
        <v>2</v>
      </c>
      <c r="M306" s="15">
        <v>-1</v>
      </c>
      <c r="N306" s="17">
        <v>130.15608211604456</v>
      </c>
      <c r="O306" s="16">
        <v>300</v>
      </c>
      <c r="P306" s="16">
        <v>50</v>
      </c>
      <c r="Q306" s="24">
        <v>1.92E-7</v>
      </c>
      <c r="R306" s="18">
        <v>500</v>
      </c>
      <c r="S306" s="16">
        <v>6.29</v>
      </c>
      <c r="T306" s="16">
        <v>0</v>
      </c>
      <c r="U306" s="16">
        <v>1.68</v>
      </c>
      <c r="V306" s="16">
        <v>0</v>
      </c>
      <c r="W306" s="18">
        <v>3.38</v>
      </c>
      <c r="X306" s="18">
        <v>0</v>
      </c>
      <c r="Y306" s="16">
        <v>0.24</v>
      </c>
      <c r="Z306" s="18">
        <v>0.05</v>
      </c>
      <c r="AA306" s="18">
        <v>0.03</v>
      </c>
      <c r="AB306" s="18">
        <v>0.01</v>
      </c>
      <c r="AC306" s="18">
        <v>0.05</v>
      </c>
      <c r="AD306" s="18">
        <v>0.01</v>
      </c>
    </row>
    <row r="307" spans="1:30" x14ac:dyDescent="0.3">
      <c r="A307" s="15" t="s">
        <v>260</v>
      </c>
      <c r="B307" s="15" t="s">
        <v>139</v>
      </c>
      <c r="C307" s="15" t="s">
        <v>9</v>
      </c>
      <c r="D307" s="15">
        <v>25</v>
      </c>
      <c r="E307" s="15">
        <v>76</v>
      </c>
      <c r="F307" s="15">
        <v>2</v>
      </c>
      <c r="G307" s="16">
        <v>970</v>
      </c>
      <c r="H307" s="16">
        <v>1</v>
      </c>
      <c r="I307" s="15" t="s">
        <v>21</v>
      </c>
      <c r="J307" s="16">
        <v>530</v>
      </c>
      <c r="K307" s="16">
        <v>6</v>
      </c>
      <c r="L307" s="15">
        <v>2</v>
      </c>
      <c r="M307" s="15">
        <v>-1</v>
      </c>
      <c r="N307" s="17">
        <v>130.15608211604456</v>
      </c>
      <c r="O307" s="16">
        <v>300</v>
      </c>
      <c r="P307" s="16">
        <v>50</v>
      </c>
      <c r="Q307" s="24">
        <v>9.9999999999999995E-8</v>
      </c>
      <c r="R307" s="18">
        <v>500</v>
      </c>
      <c r="S307" s="16">
        <v>6.29</v>
      </c>
      <c r="T307" s="16">
        <v>0</v>
      </c>
      <c r="U307" s="16">
        <v>1.68</v>
      </c>
      <c r="V307" s="16">
        <v>0</v>
      </c>
      <c r="W307" s="18">
        <v>3.38</v>
      </c>
      <c r="X307" s="18">
        <v>0</v>
      </c>
      <c r="Y307" s="16">
        <v>0.24</v>
      </c>
      <c r="Z307" s="18">
        <v>0.05</v>
      </c>
      <c r="AA307" s="18">
        <v>0.03</v>
      </c>
      <c r="AB307" s="18">
        <v>0.01</v>
      </c>
      <c r="AC307" s="18">
        <v>0.05</v>
      </c>
      <c r="AD307" s="18">
        <v>0.01</v>
      </c>
    </row>
    <row r="308" spans="1:30" x14ac:dyDescent="0.3">
      <c r="A308" s="15" t="s">
        <v>261</v>
      </c>
      <c r="B308" s="15" t="s">
        <v>139</v>
      </c>
      <c r="C308" s="15" t="s">
        <v>9</v>
      </c>
      <c r="D308" s="15">
        <v>25</v>
      </c>
      <c r="E308" s="15">
        <v>76</v>
      </c>
      <c r="F308" s="15">
        <v>2</v>
      </c>
      <c r="G308" s="16">
        <v>970</v>
      </c>
      <c r="H308" s="16">
        <v>1</v>
      </c>
      <c r="I308" s="15" t="s">
        <v>21</v>
      </c>
      <c r="J308" s="16">
        <v>530</v>
      </c>
      <c r="K308" s="16">
        <v>24</v>
      </c>
      <c r="L308" s="15">
        <v>2</v>
      </c>
      <c r="M308" s="15">
        <v>-1</v>
      </c>
      <c r="N308" s="17">
        <v>130.15608211604456</v>
      </c>
      <c r="O308" s="16">
        <v>300</v>
      </c>
      <c r="P308" s="16">
        <v>50</v>
      </c>
      <c r="Q308" s="24">
        <v>2.3999999999999998E-7</v>
      </c>
      <c r="R308" s="18">
        <v>500</v>
      </c>
      <c r="S308" s="16">
        <v>6.29</v>
      </c>
      <c r="T308" s="16">
        <v>0</v>
      </c>
      <c r="U308" s="16">
        <v>1.68</v>
      </c>
      <c r="V308" s="16">
        <v>0</v>
      </c>
      <c r="W308" s="18">
        <v>3.38</v>
      </c>
      <c r="X308" s="18">
        <v>0</v>
      </c>
      <c r="Y308" s="16">
        <v>0.24</v>
      </c>
      <c r="Z308" s="18">
        <v>0.05</v>
      </c>
      <c r="AA308" s="18">
        <v>0.03</v>
      </c>
      <c r="AB308" s="18">
        <v>0.01</v>
      </c>
      <c r="AC308" s="18">
        <v>0.05</v>
      </c>
      <c r="AD308" s="18">
        <v>0.01</v>
      </c>
    </row>
    <row r="309" spans="1:30" x14ac:dyDescent="0.3">
      <c r="A309" s="15" t="s">
        <v>262</v>
      </c>
      <c r="B309" s="15" t="s">
        <v>139</v>
      </c>
      <c r="C309" s="15" t="s">
        <v>9</v>
      </c>
      <c r="D309" s="15">
        <v>25</v>
      </c>
      <c r="E309" s="15">
        <v>76</v>
      </c>
      <c r="F309" s="15">
        <v>2</v>
      </c>
      <c r="G309" s="16">
        <v>1010</v>
      </c>
      <c r="H309" s="16">
        <v>1</v>
      </c>
      <c r="I309" s="15" t="s">
        <v>21</v>
      </c>
      <c r="J309" s="16">
        <v>530</v>
      </c>
      <c r="K309" s="16">
        <v>6</v>
      </c>
      <c r="L309" s="15">
        <v>2</v>
      </c>
      <c r="M309" s="15">
        <v>-1</v>
      </c>
      <c r="N309" s="17">
        <v>130.15608211604456</v>
      </c>
      <c r="O309" s="16">
        <v>300</v>
      </c>
      <c r="P309" s="16">
        <v>50</v>
      </c>
      <c r="Q309" s="24">
        <v>2.1400000000000001E-7</v>
      </c>
      <c r="R309" s="18">
        <v>500</v>
      </c>
      <c r="S309" s="16">
        <v>6.29</v>
      </c>
      <c r="T309" s="16">
        <v>0</v>
      </c>
      <c r="U309" s="16">
        <v>1.68</v>
      </c>
      <c r="V309" s="16">
        <v>0</v>
      </c>
      <c r="W309" s="18">
        <v>3.38</v>
      </c>
      <c r="X309" s="18">
        <v>0</v>
      </c>
      <c r="Y309" s="16">
        <v>0.24</v>
      </c>
      <c r="Z309" s="18">
        <v>0.05</v>
      </c>
      <c r="AA309" s="18">
        <v>0.03</v>
      </c>
      <c r="AB309" s="18">
        <v>0.01</v>
      </c>
      <c r="AC309" s="18">
        <v>0.05</v>
      </c>
      <c r="AD309" s="18">
        <v>0.01</v>
      </c>
    </row>
    <row r="310" spans="1:30" x14ac:dyDescent="0.3">
      <c r="A310" s="15" t="s">
        <v>263</v>
      </c>
      <c r="B310" s="15" t="s">
        <v>139</v>
      </c>
      <c r="C310" s="15" t="s">
        <v>9</v>
      </c>
      <c r="D310" s="15">
        <v>25</v>
      </c>
      <c r="E310" s="15">
        <v>76</v>
      </c>
      <c r="F310" s="15">
        <v>2</v>
      </c>
      <c r="G310" s="16">
        <v>0</v>
      </c>
      <c r="H310" s="16">
        <v>0</v>
      </c>
      <c r="I310" s="15" t="s">
        <v>21</v>
      </c>
      <c r="J310" s="16">
        <v>720</v>
      </c>
      <c r="K310" s="16">
        <v>2</v>
      </c>
      <c r="L310" s="15">
        <v>2</v>
      </c>
      <c r="M310" s="15">
        <v>-1</v>
      </c>
      <c r="N310" s="17">
        <v>87.807690439472196</v>
      </c>
      <c r="O310" s="16">
        <v>104</v>
      </c>
      <c r="P310" s="16">
        <v>50.8</v>
      </c>
      <c r="Q310" s="24">
        <v>6.9999999999999997E-7</v>
      </c>
      <c r="R310" s="18">
        <v>650</v>
      </c>
      <c r="S310" s="16">
        <v>5.9</v>
      </c>
      <c r="T310" s="16">
        <v>0</v>
      </c>
      <c r="U310" s="16">
        <v>0</v>
      </c>
      <c r="V310" s="16">
        <v>0</v>
      </c>
      <c r="W310" s="18">
        <v>0</v>
      </c>
      <c r="X310" s="18">
        <v>3.9</v>
      </c>
      <c r="Y310" s="16">
        <v>0</v>
      </c>
      <c r="Z310" s="18">
        <v>0.17</v>
      </c>
      <c r="AA310" s="18">
        <v>0.246</v>
      </c>
      <c r="AB310" s="18">
        <v>2.9000000000000001E-2</v>
      </c>
      <c r="AC310" s="18">
        <v>3.0999999999999999E-3</v>
      </c>
      <c r="AD310" s="18">
        <v>3.0999999999999999E-3</v>
      </c>
    </row>
    <row r="311" spans="1:30" x14ac:dyDescent="0.3">
      <c r="A311" s="15" t="s">
        <v>264</v>
      </c>
      <c r="B311" s="15" t="s">
        <v>139</v>
      </c>
      <c r="C311" s="15" t="s">
        <v>9</v>
      </c>
      <c r="D311" s="15">
        <v>25</v>
      </c>
      <c r="E311" s="15">
        <v>76</v>
      </c>
      <c r="F311" s="15">
        <v>2</v>
      </c>
      <c r="G311" s="16">
        <v>1050</v>
      </c>
      <c r="H311" s="16">
        <v>0.5</v>
      </c>
      <c r="I311" s="15" t="s">
        <v>21</v>
      </c>
      <c r="J311" s="16">
        <v>700</v>
      </c>
      <c r="K311" s="16">
        <v>2</v>
      </c>
      <c r="L311" s="15">
        <v>2</v>
      </c>
      <c r="M311" s="15">
        <v>-1</v>
      </c>
      <c r="N311" s="17">
        <v>174.60596850461431</v>
      </c>
      <c r="O311" s="16">
        <v>310</v>
      </c>
      <c r="P311" s="16">
        <v>55.84</v>
      </c>
      <c r="Q311" s="18">
        <v>0</v>
      </c>
      <c r="R311" s="18">
        <v>600</v>
      </c>
      <c r="S311" s="16">
        <v>5.7</v>
      </c>
      <c r="T311" s="16">
        <v>4.8</v>
      </c>
      <c r="U311" s="16">
        <v>2.2000000000000002</v>
      </c>
      <c r="V311" s="16">
        <v>0.69</v>
      </c>
      <c r="W311" s="18">
        <v>1</v>
      </c>
      <c r="X311" s="18">
        <v>0</v>
      </c>
      <c r="Y311" s="16">
        <v>0.31</v>
      </c>
      <c r="Z311" s="18">
        <v>0</v>
      </c>
      <c r="AA311" s="18">
        <v>0</v>
      </c>
      <c r="AB311" s="18">
        <v>0.04</v>
      </c>
      <c r="AC311" s="18">
        <v>0</v>
      </c>
      <c r="AD311" s="18">
        <v>0</v>
      </c>
    </row>
    <row r="312" spans="1:30" x14ac:dyDescent="0.3">
      <c r="A312" s="15" t="s">
        <v>265</v>
      </c>
      <c r="B312" s="15" t="s">
        <v>139</v>
      </c>
      <c r="C312" s="15" t="s">
        <v>9</v>
      </c>
      <c r="D312" s="15">
        <v>25</v>
      </c>
      <c r="E312" s="15">
        <v>76</v>
      </c>
      <c r="F312" s="15">
        <v>2</v>
      </c>
      <c r="G312" s="16">
        <v>1050</v>
      </c>
      <c r="H312" s="16">
        <v>0.5</v>
      </c>
      <c r="I312" s="15" t="s">
        <v>21</v>
      </c>
      <c r="J312" s="16">
        <v>950</v>
      </c>
      <c r="K312" s="16">
        <v>1</v>
      </c>
      <c r="L312" s="15">
        <v>2</v>
      </c>
      <c r="M312" s="15">
        <v>-1</v>
      </c>
      <c r="N312" s="17">
        <v>115.97769428737872</v>
      </c>
      <c r="O312" s="16">
        <v>208</v>
      </c>
      <c r="P312" s="16">
        <v>61.33</v>
      </c>
      <c r="Q312" s="24">
        <v>9.9000000000000005E-7</v>
      </c>
      <c r="R312" s="18">
        <v>600</v>
      </c>
      <c r="S312" s="16">
        <v>6.61</v>
      </c>
      <c r="T312" s="16">
        <v>0</v>
      </c>
      <c r="U312" s="16">
        <v>0</v>
      </c>
      <c r="V312" s="16">
        <v>0</v>
      </c>
      <c r="W312" s="18">
        <v>0</v>
      </c>
      <c r="X312" s="18">
        <v>4.2300000000000004</v>
      </c>
      <c r="Y312" s="16">
        <v>0</v>
      </c>
      <c r="Z312" s="18">
        <v>1.18</v>
      </c>
      <c r="AA312" s="18">
        <v>0.13</v>
      </c>
      <c r="AB312" s="18">
        <v>2.5999999999999999E-2</v>
      </c>
      <c r="AC312" s="18">
        <v>1.0999999999999999E-2</v>
      </c>
      <c r="AD312" s="18">
        <v>3.0000000000000001E-3</v>
      </c>
    </row>
    <row r="313" spans="1:30" x14ac:dyDescent="0.3">
      <c r="A313" s="15" t="s">
        <v>266</v>
      </c>
      <c r="B313" s="15" t="s">
        <v>139</v>
      </c>
      <c r="C313" s="15" t="s">
        <v>9</v>
      </c>
      <c r="D313" s="15">
        <v>25</v>
      </c>
      <c r="E313" s="15">
        <v>76</v>
      </c>
      <c r="F313" s="15">
        <v>2</v>
      </c>
      <c r="G313" s="16">
        <v>0</v>
      </c>
      <c r="H313" s="16">
        <v>0</v>
      </c>
      <c r="I313" s="15" t="s">
        <v>21</v>
      </c>
      <c r="J313" s="16">
        <v>0</v>
      </c>
      <c r="K313" s="16">
        <v>0</v>
      </c>
      <c r="L313" s="15">
        <v>2</v>
      </c>
      <c r="M313" s="15">
        <v>-1</v>
      </c>
      <c r="N313" s="17">
        <v>48.904755675984347</v>
      </c>
      <c r="O313" s="16">
        <v>300</v>
      </c>
      <c r="P313" s="16">
        <v>70.540000000000006</v>
      </c>
      <c r="Q313" s="18">
        <v>0</v>
      </c>
      <c r="R313" s="18">
        <v>500</v>
      </c>
      <c r="S313" s="16">
        <v>5.6</v>
      </c>
      <c r="T313" s="16">
        <v>0</v>
      </c>
      <c r="U313" s="16">
        <v>0</v>
      </c>
      <c r="V313" s="16">
        <v>0</v>
      </c>
      <c r="W313" s="18">
        <v>5.08</v>
      </c>
      <c r="X313" s="18">
        <v>5.08</v>
      </c>
      <c r="Y313" s="16">
        <v>0</v>
      </c>
      <c r="Z313" s="18">
        <v>0.95</v>
      </c>
      <c r="AA313" s="18">
        <v>0</v>
      </c>
      <c r="AB313" s="18">
        <v>0</v>
      </c>
      <c r="AC313" s="18">
        <v>0</v>
      </c>
      <c r="AD313" s="18">
        <v>0</v>
      </c>
    </row>
    <row r="314" spans="1:30" x14ac:dyDescent="0.3">
      <c r="A314" s="15" t="s">
        <v>267</v>
      </c>
      <c r="B314" s="15" t="s">
        <v>139</v>
      </c>
      <c r="C314" s="15" t="s">
        <v>9</v>
      </c>
      <c r="D314" s="15">
        <v>25</v>
      </c>
      <c r="E314" s="15">
        <v>76</v>
      </c>
      <c r="F314" s="15">
        <v>2</v>
      </c>
      <c r="G314" s="16">
        <v>0</v>
      </c>
      <c r="H314" s="16">
        <v>0</v>
      </c>
      <c r="I314" s="15" t="s">
        <v>21</v>
      </c>
      <c r="J314" s="16">
        <v>1260</v>
      </c>
      <c r="K314" s="16">
        <v>4</v>
      </c>
      <c r="L314" s="15">
        <v>2</v>
      </c>
      <c r="M314" s="15">
        <v>-1</v>
      </c>
      <c r="N314" s="17">
        <v>87.807690439472196</v>
      </c>
      <c r="O314" s="16">
        <v>200</v>
      </c>
      <c r="P314" s="16">
        <v>70.599999999999994</v>
      </c>
      <c r="Q314" s="24">
        <v>5.7199999999999999E-7</v>
      </c>
      <c r="R314" s="18">
        <v>750</v>
      </c>
      <c r="S314" s="16">
        <v>48</v>
      </c>
      <c r="T314" s="16">
        <v>0</v>
      </c>
      <c r="U314" s="16">
        <v>0</v>
      </c>
      <c r="V314" s="16">
        <v>2</v>
      </c>
      <c r="W314" s="18">
        <v>0</v>
      </c>
      <c r="X314" s="18">
        <v>0</v>
      </c>
      <c r="Y314" s="16">
        <v>0</v>
      </c>
      <c r="Z314" s="18">
        <v>0</v>
      </c>
      <c r="AA314" s="18">
        <v>0</v>
      </c>
      <c r="AB314" s="18">
        <v>0</v>
      </c>
      <c r="AC314" s="18">
        <v>0</v>
      </c>
      <c r="AD314" s="18">
        <v>0</v>
      </c>
    </row>
    <row r="315" spans="1:30" x14ac:dyDescent="0.3">
      <c r="A315" s="15" t="s">
        <v>268</v>
      </c>
      <c r="B315" s="15" t="s">
        <v>139</v>
      </c>
      <c r="C315" s="15" t="s">
        <v>9</v>
      </c>
      <c r="D315" s="15">
        <v>25</v>
      </c>
      <c r="E315" s="15">
        <v>76</v>
      </c>
      <c r="F315" s="15">
        <v>2</v>
      </c>
      <c r="G315" s="16">
        <v>0</v>
      </c>
      <c r="H315" s="16">
        <v>0</v>
      </c>
      <c r="I315" s="15" t="s">
        <v>21</v>
      </c>
      <c r="J315" s="16">
        <v>0</v>
      </c>
      <c r="K315" s="16">
        <v>0</v>
      </c>
      <c r="L315" s="15">
        <v>2</v>
      </c>
      <c r="M315" s="15">
        <v>-1</v>
      </c>
      <c r="N315" s="17">
        <v>48.904755675984347</v>
      </c>
      <c r="O315" s="16">
        <v>250</v>
      </c>
      <c r="P315" s="16">
        <v>71.192999999999998</v>
      </c>
      <c r="Q315" s="18">
        <v>0</v>
      </c>
      <c r="R315" s="18">
        <v>500</v>
      </c>
      <c r="S315" s="16">
        <v>5.6</v>
      </c>
      <c r="T315" s="16">
        <v>0</v>
      </c>
      <c r="U315" s="16">
        <v>0</v>
      </c>
      <c r="V315" s="16">
        <v>0</v>
      </c>
      <c r="W315" s="18">
        <v>5.08</v>
      </c>
      <c r="X315" s="18">
        <v>5.08</v>
      </c>
      <c r="Y315" s="16">
        <v>0</v>
      </c>
      <c r="Z315" s="18">
        <v>0.95</v>
      </c>
      <c r="AA315" s="18">
        <v>0</v>
      </c>
      <c r="AB315" s="18">
        <v>0</v>
      </c>
      <c r="AC315" s="18">
        <v>0</v>
      </c>
      <c r="AD315" s="18">
        <v>0</v>
      </c>
    </row>
    <row r="316" spans="1:30" x14ac:dyDescent="0.3">
      <c r="A316" s="15" t="s">
        <v>269</v>
      </c>
      <c r="B316" s="15" t="s">
        <v>139</v>
      </c>
      <c r="C316" s="15" t="s">
        <v>9</v>
      </c>
      <c r="D316" s="15">
        <v>25</v>
      </c>
      <c r="E316" s="15">
        <v>76</v>
      </c>
      <c r="F316" s="15">
        <v>2</v>
      </c>
      <c r="G316" s="16">
        <v>0</v>
      </c>
      <c r="H316" s="16">
        <v>0</v>
      </c>
      <c r="I316" s="15" t="s">
        <v>21</v>
      </c>
      <c r="J316" s="16">
        <v>0</v>
      </c>
      <c r="K316" s="16">
        <v>0</v>
      </c>
      <c r="L316" s="15">
        <v>2</v>
      </c>
      <c r="M316" s="15">
        <v>-1</v>
      </c>
      <c r="N316" s="17">
        <v>48.904755675984347</v>
      </c>
      <c r="O316" s="16">
        <v>200</v>
      </c>
      <c r="P316" s="16">
        <v>71.56</v>
      </c>
      <c r="Q316" s="18">
        <v>0</v>
      </c>
      <c r="R316" s="18">
        <v>500</v>
      </c>
      <c r="S316" s="16">
        <v>5.6</v>
      </c>
      <c r="T316" s="16">
        <v>0</v>
      </c>
      <c r="U316" s="16">
        <v>0</v>
      </c>
      <c r="V316" s="16">
        <v>0</v>
      </c>
      <c r="W316" s="18">
        <v>5.08</v>
      </c>
      <c r="X316" s="18">
        <v>5.08</v>
      </c>
      <c r="Y316" s="16">
        <v>0</v>
      </c>
      <c r="Z316" s="18">
        <v>0.95</v>
      </c>
      <c r="AA316" s="18">
        <v>0</v>
      </c>
      <c r="AB316" s="18">
        <v>0</v>
      </c>
      <c r="AC316" s="18">
        <v>0</v>
      </c>
      <c r="AD316" s="18">
        <v>0</v>
      </c>
    </row>
    <row r="317" spans="1:30" x14ac:dyDescent="0.3">
      <c r="A317" s="15" t="s">
        <v>270</v>
      </c>
      <c r="B317" s="15" t="s">
        <v>139</v>
      </c>
      <c r="C317" s="15" t="s">
        <v>9</v>
      </c>
      <c r="D317" s="15">
        <v>25</v>
      </c>
      <c r="E317" s="15">
        <v>76</v>
      </c>
      <c r="F317" s="15">
        <v>2</v>
      </c>
      <c r="G317" s="16">
        <v>1100</v>
      </c>
      <c r="H317" s="16">
        <v>0.42</v>
      </c>
      <c r="I317" s="15" t="s">
        <v>21</v>
      </c>
      <c r="J317" s="16">
        <v>480</v>
      </c>
      <c r="K317" s="16">
        <v>0</v>
      </c>
      <c r="L317" s="15">
        <v>2</v>
      </c>
      <c r="M317" s="15">
        <v>-1</v>
      </c>
      <c r="N317" s="17">
        <v>122.23836797400142</v>
      </c>
      <c r="O317" s="16">
        <v>575</v>
      </c>
      <c r="P317" s="16">
        <v>72</v>
      </c>
      <c r="Q317" s="24">
        <v>5.1500000000000005E-4</v>
      </c>
      <c r="R317" s="18">
        <v>400</v>
      </c>
      <c r="S317" s="16">
        <v>6.33</v>
      </c>
      <c r="T317" s="16">
        <v>0</v>
      </c>
      <c r="U317" s="16">
        <v>0</v>
      </c>
      <c r="V317" s="16">
        <v>0</v>
      </c>
      <c r="W317" s="18">
        <v>0</v>
      </c>
      <c r="X317" s="18">
        <v>4</v>
      </c>
      <c r="Y317" s="16">
        <v>0</v>
      </c>
      <c r="Z317" s="18">
        <v>0.2</v>
      </c>
      <c r="AA317" s="18">
        <v>0.17</v>
      </c>
      <c r="AB317" s="18">
        <v>0.03</v>
      </c>
      <c r="AC317" s="18">
        <v>0.01</v>
      </c>
      <c r="AD317" s="18">
        <v>4.0000000000000001E-3</v>
      </c>
    </row>
    <row r="318" spans="1:30" x14ac:dyDescent="0.3">
      <c r="A318" s="15" t="s">
        <v>271</v>
      </c>
      <c r="B318" s="15" t="s">
        <v>139</v>
      </c>
      <c r="C318" s="15" t="s">
        <v>9</v>
      </c>
      <c r="D318" s="15">
        <v>25</v>
      </c>
      <c r="E318" s="15">
        <v>76</v>
      </c>
      <c r="F318" s="15">
        <v>2</v>
      </c>
      <c r="G318" s="16">
        <v>0</v>
      </c>
      <c r="H318" s="16">
        <v>0</v>
      </c>
      <c r="I318" s="15" t="s">
        <v>21</v>
      </c>
      <c r="J318" s="16">
        <v>0</v>
      </c>
      <c r="K318" s="16">
        <v>0</v>
      </c>
      <c r="L318" s="15">
        <v>2</v>
      </c>
      <c r="M318" s="15">
        <v>-1</v>
      </c>
      <c r="N318" s="17">
        <v>48.904755675984347</v>
      </c>
      <c r="O318" s="16">
        <v>200</v>
      </c>
      <c r="P318" s="16">
        <v>72</v>
      </c>
      <c r="Q318" s="24">
        <v>5.3400000000000002E-9</v>
      </c>
      <c r="R318" s="18">
        <v>400</v>
      </c>
      <c r="S318" s="16">
        <v>5.6</v>
      </c>
      <c r="T318" s="16">
        <v>0</v>
      </c>
      <c r="U318" s="16">
        <v>0</v>
      </c>
      <c r="V318" s="16">
        <v>0</v>
      </c>
      <c r="W318" s="18">
        <v>5.08</v>
      </c>
      <c r="X318" s="18">
        <v>5.08</v>
      </c>
      <c r="Y318" s="16">
        <v>0</v>
      </c>
      <c r="Z318" s="18">
        <v>0.95</v>
      </c>
      <c r="AA318" s="18">
        <v>0</v>
      </c>
      <c r="AB318" s="18">
        <v>0</v>
      </c>
      <c r="AC318" s="18">
        <v>0</v>
      </c>
      <c r="AD318" s="18">
        <v>0</v>
      </c>
    </row>
    <row r="319" spans="1:30" x14ac:dyDescent="0.3">
      <c r="A319" s="15" t="s">
        <v>272</v>
      </c>
      <c r="B319" s="15" t="s">
        <v>139</v>
      </c>
      <c r="C319" s="15" t="s">
        <v>9</v>
      </c>
      <c r="D319" s="15">
        <v>25</v>
      </c>
      <c r="E319" s="15">
        <v>76</v>
      </c>
      <c r="F319" s="15">
        <v>2</v>
      </c>
      <c r="G319" s="16">
        <v>0</v>
      </c>
      <c r="H319" s="16">
        <v>0</v>
      </c>
      <c r="I319" s="15" t="s">
        <v>21</v>
      </c>
      <c r="J319" s="16">
        <v>0</v>
      </c>
      <c r="K319" s="16">
        <v>0</v>
      </c>
      <c r="L319" s="15">
        <v>2</v>
      </c>
      <c r="M319" s="15">
        <v>-1</v>
      </c>
      <c r="N319" s="17">
        <v>48.904755675984347</v>
      </c>
      <c r="O319" s="16">
        <v>250</v>
      </c>
      <c r="P319" s="16">
        <v>72</v>
      </c>
      <c r="Q319" s="24">
        <v>5.9500000000000003E-9</v>
      </c>
      <c r="R319" s="18">
        <v>400</v>
      </c>
      <c r="S319" s="16">
        <v>5.6</v>
      </c>
      <c r="T319" s="16">
        <v>0</v>
      </c>
      <c r="U319" s="16">
        <v>0</v>
      </c>
      <c r="V319" s="16">
        <v>0</v>
      </c>
      <c r="W319" s="18">
        <v>5.08</v>
      </c>
      <c r="X319" s="18">
        <v>5.08</v>
      </c>
      <c r="Y319" s="16">
        <v>0</v>
      </c>
      <c r="Z319" s="18">
        <v>0.95</v>
      </c>
      <c r="AA319" s="18">
        <v>0</v>
      </c>
      <c r="AB319" s="18">
        <v>0</v>
      </c>
      <c r="AC319" s="18">
        <v>0</v>
      </c>
      <c r="AD319" s="18">
        <v>0</v>
      </c>
    </row>
    <row r="320" spans="1:30" x14ac:dyDescent="0.3">
      <c r="A320" s="15" t="s">
        <v>273</v>
      </c>
      <c r="B320" s="15" t="s">
        <v>139</v>
      </c>
      <c r="C320" s="15" t="s">
        <v>9</v>
      </c>
      <c r="D320" s="15">
        <v>25</v>
      </c>
      <c r="E320" s="15">
        <v>76</v>
      </c>
      <c r="F320" s="15">
        <v>2</v>
      </c>
      <c r="G320" s="16">
        <v>0</v>
      </c>
      <c r="H320" s="16">
        <v>0</v>
      </c>
      <c r="I320" s="15" t="s">
        <v>21</v>
      </c>
      <c r="J320" s="16">
        <v>0</v>
      </c>
      <c r="K320" s="16">
        <v>0</v>
      </c>
      <c r="L320" s="15">
        <v>2</v>
      </c>
      <c r="M320" s="15">
        <v>-1</v>
      </c>
      <c r="N320" s="17">
        <v>48.904755675984347</v>
      </c>
      <c r="O320" s="16">
        <v>300</v>
      </c>
      <c r="P320" s="16">
        <v>72</v>
      </c>
      <c r="Q320" s="24">
        <v>1.0800000000000001E-8</v>
      </c>
      <c r="R320" s="18">
        <v>400</v>
      </c>
      <c r="S320" s="16">
        <v>5.6</v>
      </c>
      <c r="T320" s="16">
        <v>0</v>
      </c>
      <c r="U320" s="16">
        <v>0</v>
      </c>
      <c r="V320" s="16">
        <v>0</v>
      </c>
      <c r="W320" s="18">
        <v>5.08</v>
      </c>
      <c r="X320" s="18">
        <v>5.08</v>
      </c>
      <c r="Y320" s="16">
        <v>0</v>
      </c>
      <c r="Z320" s="18">
        <v>0.95</v>
      </c>
      <c r="AA320" s="18">
        <v>0</v>
      </c>
      <c r="AB320" s="18">
        <v>0</v>
      </c>
      <c r="AC320" s="18">
        <v>0</v>
      </c>
      <c r="AD320" s="18">
        <v>0</v>
      </c>
    </row>
    <row r="321" spans="1:30" x14ac:dyDescent="0.3">
      <c r="A321" s="15" t="s">
        <v>274</v>
      </c>
      <c r="B321" s="15" t="s">
        <v>139</v>
      </c>
      <c r="C321" s="15" t="s">
        <v>9</v>
      </c>
      <c r="D321" s="15">
        <v>25</v>
      </c>
      <c r="E321" s="15">
        <v>76</v>
      </c>
      <c r="F321" s="15">
        <v>2</v>
      </c>
      <c r="G321" s="16">
        <v>0</v>
      </c>
      <c r="H321" s="16">
        <v>0</v>
      </c>
      <c r="I321" s="15" t="s">
        <v>21</v>
      </c>
      <c r="J321" s="16">
        <v>0</v>
      </c>
      <c r="K321" s="16">
        <v>0</v>
      </c>
      <c r="L321" s="15">
        <v>2</v>
      </c>
      <c r="M321" s="15">
        <v>-1</v>
      </c>
      <c r="N321" s="17">
        <v>48.904755675984347</v>
      </c>
      <c r="O321" s="16">
        <v>200</v>
      </c>
      <c r="P321" s="16">
        <v>72</v>
      </c>
      <c r="Q321" s="24">
        <v>9.2700000000000003E-8</v>
      </c>
      <c r="R321" s="18">
        <v>500</v>
      </c>
      <c r="S321" s="16">
        <v>5.6</v>
      </c>
      <c r="T321" s="16">
        <v>0</v>
      </c>
      <c r="U321" s="16">
        <v>0</v>
      </c>
      <c r="V321" s="16">
        <v>0</v>
      </c>
      <c r="W321" s="18">
        <v>5.08</v>
      </c>
      <c r="X321" s="18">
        <v>5.08</v>
      </c>
      <c r="Y321" s="16">
        <v>0</v>
      </c>
      <c r="Z321" s="18">
        <v>0.95</v>
      </c>
      <c r="AA321" s="18">
        <v>0</v>
      </c>
      <c r="AB321" s="18">
        <v>0</v>
      </c>
      <c r="AC321" s="18">
        <v>0</v>
      </c>
      <c r="AD321" s="18">
        <v>0</v>
      </c>
    </row>
    <row r="322" spans="1:30" x14ac:dyDescent="0.3">
      <c r="A322" s="15" t="s">
        <v>275</v>
      </c>
      <c r="B322" s="15" t="s">
        <v>139</v>
      </c>
      <c r="C322" s="15" t="s">
        <v>9</v>
      </c>
      <c r="D322" s="15">
        <v>25</v>
      </c>
      <c r="E322" s="15">
        <v>76</v>
      </c>
      <c r="F322" s="15">
        <v>2</v>
      </c>
      <c r="G322" s="16">
        <v>0</v>
      </c>
      <c r="H322" s="16">
        <v>0</v>
      </c>
      <c r="I322" s="15" t="s">
        <v>21</v>
      </c>
      <c r="J322" s="16">
        <v>0</v>
      </c>
      <c r="K322" s="16">
        <v>0</v>
      </c>
      <c r="L322" s="15">
        <v>2</v>
      </c>
      <c r="M322" s="15">
        <v>-1</v>
      </c>
      <c r="N322" s="17">
        <v>48.904755675984347</v>
      </c>
      <c r="O322" s="16">
        <v>250</v>
      </c>
      <c r="P322" s="16">
        <v>72</v>
      </c>
      <c r="Q322" s="24">
        <v>1.8699999999999999E-7</v>
      </c>
      <c r="R322" s="18">
        <v>500</v>
      </c>
      <c r="S322" s="16">
        <v>5.6</v>
      </c>
      <c r="T322" s="16">
        <v>0</v>
      </c>
      <c r="U322" s="16">
        <v>0</v>
      </c>
      <c r="V322" s="16">
        <v>0</v>
      </c>
      <c r="W322" s="18">
        <v>5.08</v>
      </c>
      <c r="X322" s="18">
        <v>5.08</v>
      </c>
      <c r="Y322" s="16">
        <v>0</v>
      </c>
      <c r="Z322" s="18">
        <v>0.95</v>
      </c>
      <c r="AA322" s="18">
        <v>0</v>
      </c>
      <c r="AB322" s="18">
        <v>0</v>
      </c>
      <c r="AC322" s="18">
        <v>0</v>
      </c>
      <c r="AD322" s="18">
        <v>0</v>
      </c>
    </row>
    <row r="323" spans="1:30" x14ac:dyDescent="0.3">
      <c r="A323" s="15" t="s">
        <v>276</v>
      </c>
      <c r="B323" s="15" t="s">
        <v>139</v>
      </c>
      <c r="C323" s="15" t="s">
        <v>9</v>
      </c>
      <c r="D323" s="15">
        <v>25</v>
      </c>
      <c r="E323" s="15">
        <v>76</v>
      </c>
      <c r="F323" s="15">
        <v>2</v>
      </c>
      <c r="G323" s="16">
        <v>0</v>
      </c>
      <c r="H323" s="16">
        <v>0</v>
      </c>
      <c r="I323" s="15" t="s">
        <v>21</v>
      </c>
      <c r="J323" s="16">
        <v>0</v>
      </c>
      <c r="K323" s="16">
        <v>0</v>
      </c>
      <c r="L323" s="15">
        <v>2</v>
      </c>
      <c r="M323" s="15">
        <v>-1</v>
      </c>
      <c r="N323" s="17">
        <v>48.904755675984347</v>
      </c>
      <c r="O323" s="16">
        <v>300</v>
      </c>
      <c r="P323" s="16">
        <v>72</v>
      </c>
      <c r="Q323" s="24">
        <v>4.8599999999999998E-7</v>
      </c>
      <c r="R323" s="18">
        <v>500</v>
      </c>
      <c r="S323" s="16">
        <v>5.6</v>
      </c>
      <c r="T323" s="16">
        <v>0</v>
      </c>
      <c r="U323" s="16">
        <v>0</v>
      </c>
      <c r="V323" s="16">
        <v>0</v>
      </c>
      <c r="W323" s="18">
        <v>5.08</v>
      </c>
      <c r="X323" s="18">
        <v>5.08</v>
      </c>
      <c r="Y323" s="16">
        <v>0</v>
      </c>
      <c r="Z323" s="18">
        <v>0.95</v>
      </c>
      <c r="AA323" s="18">
        <v>0</v>
      </c>
      <c r="AB323" s="18">
        <v>0</v>
      </c>
      <c r="AC323" s="18">
        <v>0</v>
      </c>
      <c r="AD323" s="18">
        <v>0</v>
      </c>
    </row>
    <row r="324" spans="1:30" x14ac:dyDescent="0.3">
      <c r="A324" s="15" t="s">
        <v>277</v>
      </c>
      <c r="B324" s="15" t="s">
        <v>139</v>
      </c>
      <c r="C324" s="15" t="s">
        <v>9</v>
      </c>
      <c r="D324" s="15">
        <v>25</v>
      </c>
      <c r="E324" s="15">
        <v>76</v>
      </c>
      <c r="F324" s="15">
        <v>2</v>
      </c>
      <c r="G324" s="16">
        <v>0</v>
      </c>
      <c r="H324" s="16">
        <v>0</v>
      </c>
      <c r="I324" s="15" t="s">
        <v>21</v>
      </c>
      <c r="J324" s="16">
        <v>0</v>
      </c>
      <c r="K324" s="16">
        <v>0</v>
      </c>
      <c r="L324" s="15">
        <v>2</v>
      </c>
      <c r="M324" s="15">
        <v>-1</v>
      </c>
      <c r="N324" s="17">
        <v>48.904755675984347</v>
      </c>
      <c r="O324" s="16">
        <v>250</v>
      </c>
      <c r="P324" s="16">
        <v>72</v>
      </c>
      <c r="Q324" s="18">
        <v>0</v>
      </c>
      <c r="R324" s="18">
        <v>400</v>
      </c>
      <c r="S324" s="16">
        <v>5.6</v>
      </c>
      <c r="T324" s="16">
        <v>0</v>
      </c>
      <c r="U324" s="16">
        <v>0</v>
      </c>
      <c r="V324" s="16">
        <v>0</v>
      </c>
      <c r="W324" s="18">
        <v>5.08</v>
      </c>
      <c r="X324" s="18">
        <v>5.08</v>
      </c>
      <c r="Y324" s="16">
        <v>0</v>
      </c>
      <c r="Z324" s="18">
        <v>0.95</v>
      </c>
      <c r="AA324" s="18">
        <v>0</v>
      </c>
      <c r="AB324" s="18">
        <v>0</v>
      </c>
      <c r="AC324" s="18">
        <v>0</v>
      </c>
      <c r="AD324" s="18">
        <v>0</v>
      </c>
    </row>
    <row r="325" spans="1:30" x14ac:dyDescent="0.3">
      <c r="A325" s="15" t="s">
        <v>278</v>
      </c>
      <c r="B325" s="15" t="s">
        <v>139</v>
      </c>
      <c r="C325" s="15" t="s">
        <v>9</v>
      </c>
      <c r="D325" s="15">
        <v>25</v>
      </c>
      <c r="E325" s="15">
        <v>76</v>
      </c>
      <c r="F325" s="15">
        <v>2</v>
      </c>
      <c r="G325" s="16">
        <v>0</v>
      </c>
      <c r="H325" s="16">
        <v>0</v>
      </c>
      <c r="I325" s="15" t="s">
        <v>21</v>
      </c>
      <c r="J325" s="16">
        <v>0</v>
      </c>
      <c r="K325" s="16">
        <v>0</v>
      </c>
      <c r="L325" s="15">
        <v>2</v>
      </c>
      <c r="M325" s="15">
        <v>-1</v>
      </c>
      <c r="N325" s="17">
        <v>48.904755675984347</v>
      </c>
      <c r="O325" s="16">
        <v>200</v>
      </c>
      <c r="P325" s="16">
        <v>72.05</v>
      </c>
      <c r="Q325" s="18">
        <v>0</v>
      </c>
      <c r="R325" s="18">
        <v>400</v>
      </c>
      <c r="S325" s="16">
        <v>5.6</v>
      </c>
      <c r="T325" s="16">
        <v>0</v>
      </c>
      <c r="U325" s="16">
        <v>0</v>
      </c>
      <c r="V325" s="16">
        <v>0</v>
      </c>
      <c r="W325" s="18">
        <v>5.08</v>
      </c>
      <c r="X325" s="18">
        <v>5.08</v>
      </c>
      <c r="Y325" s="16">
        <v>0</v>
      </c>
      <c r="Z325" s="18">
        <v>0.95</v>
      </c>
      <c r="AA325" s="18">
        <v>0</v>
      </c>
      <c r="AB325" s="18">
        <v>0</v>
      </c>
      <c r="AC325" s="18">
        <v>0</v>
      </c>
      <c r="AD325" s="18">
        <v>0</v>
      </c>
    </row>
    <row r="326" spans="1:30" x14ac:dyDescent="0.3">
      <c r="A326" s="15" t="s">
        <v>279</v>
      </c>
      <c r="B326" s="15" t="s">
        <v>139</v>
      </c>
      <c r="C326" s="15" t="s">
        <v>9</v>
      </c>
      <c r="D326" s="15">
        <v>25</v>
      </c>
      <c r="E326" s="15">
        <v>76</v>
      </c>
      <c r="F326" s="15">
        <v>2</v>
      </c>
      <c r="G326" s="16">
        <v>0</v>
      </c>
      <c r="H326" s="16">
        <v>0</v>
      </c>
      <c r="I326" s="15" t="s">
        <v>21</v>
      </c>
      <c r="J326" s="16">
        <v>0</v>
      </c>
      <c r="K326" s="16">
        <v>0</v>
      </c>
      <c r="L326" s="15">
        <v>2</v>
      </c>
      <c r="M326" s="15">
        <v>-1</v>
      </c>
      <c r="N326" s="17">
        <v>48.904755675984347</v>
      </c>
      <c r="O326" s="16">
        <v>300</v>
      </c>
      <c r="P326" s="16">
        <v>72.05</v>
      </c>
      <c r="Q326" s="18">
        <v>0</v>
      </c>
      <c r="R326" s="18">
        <v>400</v>
      </c>
      <c r="S326" s="16">
        <v>5.6</v>
      </c>
      <c r="T326" s="16">
        <v>0</v>
      </c>
      <c r="U326" s="16">
        <v>0</v>
      </c>
      <c r="V326" s="16">
        <v>0</v>
      </c>
      <c r="W326" s="18">
        <v>5.08</v>
      </c>
      <c r="X326" s="18">
        <v>5.08</v>
      </c>
      <c r="Y326" s="16">
        <v>0</v>
      </c>
      <c r="Z326" s="18">
        <v>0.95</v>
      </c>
      <c r="AA326" s="18">
        <v>0</v>
      </c>
      <c r="AB326" s="18">
        <v>0</v>
      </c>
      <c r="AC326" s="18">
        <v>0</v>
      </c>
      <c r="AD326" s="18">
        <v>0</v>
      </c>
    </row>
    <row r="327" spans="1:30" x14ac:dyDescent="0.3">
      <c r="A327" s="15" t="s">
        <v>280</v>
      </c>
      <c r="B327" s="15" t="s">
        <v>139</v>
      </c>
      <c r="C327" s="15" t="s">
        <v>9</v>
      </c>
      <c r="D327" s="15">
        <v>25</v>
      </c>
      <c r="E327" s="15">
        <v>76</v>
      </c>
      <c r="F327" s="15">
        <v>2</v>
      </c>
      <c r="G327" s="16">
        <v>1050</v>
      </c>
      <c r="H327" s="16">
        <v>0.5</v>
      </c>
      <c r="I327" s="15" t="s">
        <v>21</v>
      </c>
      <c r="J327" s="16">
        <v>700</v>
      </c>
      <c r="K327" s="16">
        <v>2</v>
      </c>
      <c r="L327" s="15">
        <v>2</v>
      </c>
      <c r="M327" s="15">
        <v>-1</v>
      </c>
      <c r="N327" s="17">
        <v>174.60596850461431</v>
      </c>
      <c r="O327" s="16">
        <v>310</v>
      </c>
      <c r="P327" s="16">
        <v>74</v>
      </c>
      <c r="Q327" s="18">
        <v>0</v>
      </c>
      <c r="R327" s="18">
        <v>600</v>
      </c>
      <c r="S327" s="16">
        <v>5.7</v>
      </c>
      <c r="T327" s="16">
        <v>4.8</v>
      </c>
      <c r="U327" s="16">
        <v>2.2000000000000002</v>
      </c>
      <c r="V327" s="16">
        <v>0.69</v>
      </c>
      <c r="W327" s="18">
        <v>1</v>
      </c>
      <c r="X327" s="18">
        <v>0</v>
      </c>
      <c r="Y327" s="16">
        <v>0.31</v>
      </c>
      <c r="Z327" s="18">
        <v>0</v>
      </c>
      <c r="AA327" s="18">
        <v>0</v>
      </c>
      <c r="AB327" s="18">
        <v>0.04</v>
      </c>
      <c r="AC327" s="18">
        <v>0</v>
      </c>
      <c r="AD327" s="18">
        <v>0</v>
      </c>
    </row>
    <row r="328" spans="1:30" x14ac:dyDescent="0.3">
      <c r="A328" s="15" t="s">
        <v>281</v>
      </c>
      <c r="B328" s="15" t="s">
        <v>139</v>
      </c>
      <c r="C328" s="15" t="s">
        <v>9</v>
      </c>
      <c r="D328" s="15">
        <v>25</v>
      </c>
      <c r="E328" s="15">
        <v>76</v>
      </c>
      <c r="F328" s="15">
        <v>2</v>
      </c>
      <c r="G328" s="16">
        <v>940</v>
      </c>
      <c r="H328" s="16">
        <v>0</v>
      </c>
      <c r="I328" s="15" t="s">
        <v>21</v>
      </c>
      <c r="J328" s="16">
        <v>480</v>
      </c>
      <c r="K328" s="16">
        <v>24</v>
      </c>
      <c r="L328" s="15">
        <v>2</v>
      </c>
      <c r="M328" s="15">
        <v>-1</v>
      </c>
      <c r="N328" s="17">
        <v>113.2794113756545</v>
      </c>
      <c r="O328" s="16">
        <v>575</v>
      </c>
      <c r="P328" s="16">
        <v>81</v>
      </c>
      <c r="Q328" s="24">
        <v>2.2999999999999999E-7</v>
      </c>
      <c r="R328" s="18">
        <v>420</v>
      </c>
      <c r="S328" s="16">
        <v>6.33</v>
      </c>
      <c r="T328" s="16">
        <v>0</v>
      </c>
      <c r="U328" s="16">
        <v>0</v>
      </c>
      <c r="V328" s="16">
        <v>0</v>
      </c>
      <c r="W328" s="18">
        <v>0</v>
      </c>
      <c r="X328" s="18">
        <v>4</v>
      </c>
      <c r="Y328" s="16">
        <v>0</v>
      </c>
      <c r="Z328" s="18">
        <v>0.2</v>
      </c>
      <c r="AA328" s="18">
        <v>0.17</v>
      </c>
      <c r="AB328" s="18">
        <v>0.03</v>
      </c>
      <c r="AC328" s="18">
        <v>0.01</v>
      </c>
      <c r="AD328" s="18">
        <v>4.0000000000000001E-3</v>
      </c>
    </row>
    <row r="329" spans="1:30" x14ac:dyDescent="0.3">
      <c r="A329" s="15" t="s">
        <v>282</v>
      </c>
      <c r="B329" s="15" t="s">
        <v>139</v>
      </c>
      <c r="C329" s="15" t="s">
        <v>9</v>
      </c>
      <c r="D329" s="15">
        <v>25</v>
      </c>
      <c r="E329" s="15">
        <v>76</v>
      </c>
      <c r="F329" s="15">
        <v>2</v>
      </c>
      <c r="G329" s="16">
        <v>1050</v>
      </c>
      <c r="H329" s="16">
        <v>0.5</v>
      </c>
      <c r="I329" s="15" t="s">
        <v>21</v>
      </c>
      <c r="J329" s="16">
        <v>700</v>
      </c>
      <c r="K329" s="16">
        <v>2</v>
      </c>
      <c r="L329" s="15">
        <v>2</v>
      </c>
      <c r="M329" s="15">
        <v>-1</v>
      </c>
      <c r="N329" s="17">
        <v>174.60596850461431</v>
      </c>
      <c r="O329" s="16">
        <v>310</v>
      </c>
      <c r="P329" s="16">
        <v>91.45</v>
      </c>
      <c r="Q329" s="18">
        <v>0</v>
      </c>
      <c r="R329" s="18">
        <v>600</v>
      </c>
      <c r="S329" s="16">
        <v>5.7</v>
      </c>
      <c r="T329" s="16">
        <v>4.8</v>
      </c>
      <c r="U329" s="16">
        <v>2.2000000000000002</v>
      </c>
      <c r="V329" s="16">
        <v>0.69</v>
      </c>
      <c r="W329" s="18">
        <v>1</v>
      </c>
      <c r="X329" s="18">
        <v>0</v>
      </c>
      <c r="Y329" s="16">
        <v>0.31</v>
      </c>
      <c r="Z329" s="18">
        <v>0</v>
      </c>
      <c r="AA329" s="18">
        <v>0</v>
      </c>
      <c r="AB329" s="18">
        <v>0.04</v>
      </c>
      <c r="AC329" s="18">
        <v>0</v>
      </c>
      <c r="AD329" s="18">
        <v>0</v>
      </c>
    </row>
    <row r="330" spans="1:30" x14ac:dyDescent="0.3">
      <c r="A330" s="15" t="s">
        <v>283</v>
      </c>
      <c r="B330" s="15" t="s">
        <v>139</v>
      </c>
      <c r="C330" s="15" t="s">
        <v>9</v>
      </c>
      <c r="D330" s="15">
        <v>25</v>
      </c>
      <c r="E330" s="15">
        <v>76</v>
      </c>
      <c r="F330" s="15">
        <v>2</v>
      </c>
      <c r="G330" s="16">
        <v>0</v>
      </c>
      <c r="H330" s="16">
        <v>0</v>
      </c>
      <c r="I330" s="15" t="s">
        <v>21</v>
      </c>
      <c r="J330" s="16">
        <v>1260</v>
      </c>
      <c r="K330" s="16">
        <v>4</v>
      </c>
      <c r="L330" s="15">
        <v>2</v>
      </c>
      <c r="M330" s="15">
        <v>-1</v>
      </c>
      <c r="N330" s="17">
        <v>87.807690439472196</v>
      </c>
      <c r="O330" s="16">
        <v>225</v>
      </c>
      <c r="P330" s="16">
        <v>93.65</v>
      </c>
      <c r="Q330" s="24">
        <v>7.4300000000000002E-7</v>
      </c>
      <c r="R330" s="18">
        <v>750</v>
      </c>
      <c r="S330" s="16">
        <v>48</v>
      </c>
      <c r="T330" s="16">
        <v>0</v>
      </c>
      <c r="U330" s="16">
        <v>0</v>
      </c>
      <c r="V330" s="16">
        <v>2</v>
      </c>
      <c r="W330" s="18">
        <v>0</v>
      </c>
      <c r="X330" s="18">
        <v>0</v>
      </c>
      <c r="Y330" s="16">
        <v>0</v>
      </c>
      <c r="Z330" s="18">
        <v>0</v>
      </c>
      <c r="AA330" s="18">
        <v>0</v>
      </c>
      <c r="AB330" s="18">
        <v>0</v>
      </c>
      <c r="AC330" s="18">
        <v>0</v>
      </c>
      <c r="AD330" s="18">
        <v>0</v>
      </c>
    </row>
    <row r="331" spans="1:30" x14ac:dyDescent="0.3">
      <c r="A331" s="15" t="s">
        <v>284</v>
      </c>
      <c r="B331" s="15" t="s">
        <v>139</v>
      </c>
      <c r="C331" s="15" t="s">
        <v>9</v>
      </c>
      <c r="D331" s="15">
        <v>25</v>
      </c>
      <c r="E331" s="15">
        <v>76</v>
      </c>
      <c r="F331" s="15">
        <v>2</v>
      </c>
      <c r="G331" s="16">
        <v>0</v>
      </c>
      <c r="H331" s="16">
        <v>0</v>
      </c>
      <c r="I331" s="15" t="s">
        <v>21</v>
      </c>
      <c r="J331" s="16">
        <v>950</v>
      </c>
      <c r="K331" s="16">
        <v>1</v>
      </c>
      <c r="L331" s="15">
        <v>2</v>
      </c>
      <c r="M331" s="15">
        <v>-1</v>
      </c>
      <c r="N331" s="17">
        <v>89.057510095960126</v>
      </c>
      <c r="O331" s="16">
        <v>291</v>
      </c>
      <c r="P331" s="16">
        <v>96.79</v>
      </c>
      <c r="Q331" s="24">
        <v>2.6300000000000001E-7</v>
      </c>
      <c r="R331" s="18">
        <v>500</v>
      </c>
      <c r="S331" s="16">
        <v>6.61</v>
      </c>
      <c r="T331" s="16">
        <v>0</v>
      </c>
      <c r="U331" s="16">
        <v>0</v>
      </c>
      <c r="V331" s="16">
        <v>0</v>
      </c>
      <c r="W331" s="18">
        <v>0</v>
      </c>
      <c r="X331" s="18">
        <v>4.2300000000000004</v>
      </c>
      <c r="Y331" s="16">
        <v>0</v>
      </c>
      <c r="Z331" s="18">
        <v>1.18</v>
      </c>
      <c r="AA331" s="18">
        <v>0.13</v>
      </c>
      <c r="AB331" s="18">
        <v>2.5999999999999999E-2</v>
      </c>
      <c r="AC331" s="18">
        <v>1.0999999999999999E-2</v>
      </c>
      <c r="AD331" s="18">
        <v>3.0000000000000001E-3</v>
      </c>
    </row>
    <row r="332" spans="1:30" x14ac:dyDescent="0.3">
      <c r="A332" s="15" t="s">
        <v>285</v>
      </c>
      <c r="B332" s="15" t="s">
        <v>139</v>
      </c>
      <c r="C332" s="15" t="s">
        <v>9</v>
      </c>
      <c r="D332" s="15">
        <v>25</v>
      </c>
      <c r="E332" s="15">
        <v>76</v>
      </c>
      <c r="F332" s="15">
        <v>2</v>
      </c>
      <c r="G332" s="16">
        <v>0</v>
      </c>
      <c r="H332" s="16">
        <v>0</v>
      </c>
      <c r="I332" s="15" t="s">
        <v>21</v>
      </c>
      <c r="J332" s="16">
        <v>720</v>
      </c>
      <c r="K332" s="16">
        <v>2</v>
      </c>
      <c r="L332" s="15">
        <v>2</v>
      </c>
      <c r="M332" s="15">
        <v>-1</v>
      </c>
      <c r="N332" s="17">
        <v>87.807690439472196</v>
      </c>
      <c r="O332" s="16">
        <v>620.5</v>
      </c>
      <c r="P332" s="16">
        <v>100</v>
      </c>
      <c r="Q332" s="24">
        <v>1.6600000000000001E-9</v>
      </c>
      <c r="R332" s="18">
        <v>315</v>
      </c>
      <c r="S332" s="16">
        <v>5.9</v>
      </c>
      <c r="T332" s="16">
        <v>0</v>
      </c>
      <c r="U332" s="16">
        <v>0</v>
      </c>
      <c r="V332" s="16">
        <v>0</v>
      </c>
      <c r="W332" s="18">
        <v>0</v>
      </c>
      <c r="X332" s="18">
        <v>3.9</v>
      </c>
      <c r="Y332" s="16">
        <v>0</v>
      </c>
      <c r="Z332" s="18">
        <v>0.17</v>
      </c>
      <c r="AA332" s="18">
        <v>0.246</v>
      </c>
      <c r="AB332" s="18">
        <v>2.9000000000000001E-2</v>
      </c>
      <c r="AC332" s="18">
        <v>3.0999999999999999E-3</v>
      </c>
      <c r="AD332" s="18">
        <v>3.0999999999999999E-3</v>
      </c>
    </row>
    <row r="333" spans="1:30" x14ac:dyDescent="0.3">
      <c r="A333" s="15" t="s">
        <v>286</v>
      </c>
      <c r="B333" s="15" t="s">
        <v>139</v>
      </c>
      <c r="C333" s="15" t="s">
        <v>9</v>
      </c>
      <c r="D333" s="15">
        <v>25</v>
      </c>
      <c r="E333" s="15">
        <v>76</v>
      </c>
      <c r="F333" s="15">
        <v>2</v>
      </c>
      <c r="G333" s="16">
        <v>945</v>
      </c>
      <c r="H333" s="16">
        <v>2</v>
      </c>
      <c r="I333" s="15" t="s">
        <v>21</v>
      </c>
      <c r="J333" s="16">
        <v>700</v>
      </c>
      <c r="K333" s="16">
        <v>2</v>
      </c>
      <c r="L333" s="15">
        <v>2</v>
      </c>
      <c r="M333" s="15">
        <v>-1</v>
      </c>
      <c r="N333" s="17">
        <v>191.76271463168436</v>
      </c>
      <c r="O333" s="16">
        <v>150</v>
      </c>
      <c r="P333" s="16">
        <v>100</v>
      </c>
      <c r="Q333" s="24">
        <v>4.3000000000000002E-5</v>
      </c>
      <c r="R333" s="18">
        <v>600</v>
      </c>
      <c r="S333" s="16">
        <v>5.78</v>
      </c>
      <c r="T333" s="16">
        <v>4.01</v>
      </c>
      <c r="U333" s="16">
        <v>3.71</v>
      </c>
      <c r="V333" s="16">
        <v>0.55000000000000004</v>
      </c>
      <c r="W333" s="18">
        <v>0.72</v>
      </c>
      <c r="X333" s="18">
        <v>0</v>
      </c>
      <c r="Y333" s="16">
        <v>0.3</v>
      </c>
      <c r="Z333" s="18">
        <v>0</v>
      </c>
      <c r="AA333" s="18">
        <v>0.09</v>
      </c>
      <c r="AB333" s="18">
        <v>0.06</v>
      </c>
      <c r="AC333" s="18">
        <v>7.0000000000000001E-3</v>
      </c>
      <c r="AD333" s="18">
        <v>0</v>
      </c>
    </row>
    <row r="334" spans="1:30" x14ac:dyDescent="0.3">
      <c r="A334" s="15" t="s">
        <v>287</v>
      </c>
      <c r="B334" s="15" t="s">
        <v>139</v>
      </c>
      <c r="C334" s="15" t="s">
        <v>9</v>
      </c>
      <c r="D334" s="15">
        <v>25</v>
      </c>
      <c r="E334" s="15">
        <v>76</v>
      </c>
      <c r="F334" s="15">
        <v>2</v>
      </c>
      <c r="G334" s="16">
        <v>995</v>
      </c>
      <c r="H334" s="16">
        <v>2</v>
      </c>
      <c r="I334" s="15" t="s">
        <v>21</v>
      </c>
      <c r="J334" s="16">
        <v>700</v>
      </c>
      <c r="K334" s="16">
        <v>2</v>
      </c>
      <c r="L334" s="15">
        <v>2</v>
      </c>
      <c r="M334" s="15">
        <v>-1</v>
      </c>
      <c r="N334" s="17">
        <v>191.76271463168436</v>
      </c>
      <c r="O334" s="16">
        <v>150</v>
      </c>
      <c r="P334" s="16">
        <v>100</v>
      </c>
      <c r="Q334" s="24">
        <v>2.4000000000000001E-5</v>
      </c>
      <c r="R334" s="18">
        <v>600</v>
      </c>
      <c r="S334" s="16">
        <v>5.78</v>
      </c>
      <c r="T334" s="16">
        <v>4.01</v>
      </c>
      <c r="U334" s="16">
        <v>3.71</v>
      </c>
      <c r="V334" s="16">
        <v>0.55000000000000004</v>
      </c>
      <c r="W334" s="18">
        <v>0.72</v>
      </c>
      <c r="X334" s="18">
        <v>0</v>
      </c>
      <c r="Y334" s="16">
        <v>0.3</v>
      </c>
      <c r="Z334" s="18">
        <v>0</v>
      </c>
      <c r="AA334" s="18">
        <v>0.09</v>
      </c>
      <c r="AB334" s="18">
        <v>0.06</v>
      </c>
      <c r="AC334" s="18">
        <v>7.0000000000000001E-3</v>
      </c>
      <c r="AD334" s="18">
        <v>0</v>
      </c>
    </row>
    <row r="335" spans="1:30" x14ac:dyDescent="0.3">
      <c r="A335" s="15" t="s">
        <v>288</v>
      </c>
      <c r="B335" s="15" t="s">
        <v>139</v>
      </c>
      <c r="C335" s="15" t="s">
        <v>9</v>
      </c>
      <c r="D335" s="15">
        <v>25</v>
      </c>
      <c r="E335" s="15">
        <v>76</v>
      </c>
      <c r="F335" s="15">
        <v>2</v>
      </c>
      <c r="G335" s="16">
        <v>1025</v>
      </c>
      <c r="H335" s="16">
        <v>2</v>
      </c>
      <c r="I335" s="15" t="s">
        <v>21</v>
      </c>
      <c r="J335" s="16">
        <v>700</v>
      </c>
      <c r="K335" s="16">
        <v>2</v>
      </c>
      <c r="L335" s="15">
        <v>2</v>
      </c>
      <c r="M335" s="15">
        <v>-1</v>
      </c>
      <c r="N335" s="17">
        <v>191.76271463168436</v>
      </c>
      <c r="O335" s="16">
        <v>150</v>
      </c>
      <c r="P335" s="16">
        <v>100</v>
      </c>
      <c r="Q335" s="24">
        <v>1.8E-5</v>
      </c>
      <c r="R335" s="18">
        <v>600</v>
      </c>
      <c r="S335" s="16">
        <v>5.78</v>
      </c>
      <c r="T335" s="16">
        <v>4.01</v>
      </c>
      <c r="U335" s="16">
        <v>3.71</v>
      </c>
      <c r="V335" s="16">
        <v>0.55000000000000004</v>
      </c>
      <c r="W335" s="18">
        <v>0.72</v>
      </c>
      <c r="X335" s="18">
        <v>0</v>
      </c>
      <c r="Y335" s="16">
        <v>0.3</v>
      </c>
      <c r="Z335" s="18">
        <v>0</v>
      </c>
      <c r="AA335" s="18">
        <v>0.09</v>
      </c>
      <c r="AB335" s="18">
        <v>0.06</v>
      </c>
      <c r="AC335" s="18">
        <v>7.0000000000000001E-3</v>
      </c>
      <c r="AD335" s="18">
        <v>0</v>
      </c>
    </row>
    <row r="336" spans="1:30" x14ac:dyDescent="0.3">
      <c r="A336" s="15" t="s">
        <v>289</v>
      </c>
      <c r="B336" s="15" t="s">
        <v>139</v>
      </c>
      <c r="C336" s="15" t="s">
        <v>9</v>
      </c>
      <c r="D336" s="15">
        <v>25</v>
      </c>
      <c r="E336" s="15">
        <v>76</v>
      </c>
      <c r="F336" s="15">
        <v>2</v>
      </c>
      <c r="G336" s="16">
        <v>1055</v>
      </c>
      <c r="H336" s="16">
        <v>2</v>
      </c>
      <c r="I336" s="15" t="s">
        <v>21</v>
      </c>
      <c r="J336" s="16">
        <v>700</v>
      </c>
      <c r="K336" s="16">
        <v>2</v>
      </c>
      <c r="L336" s="15">
        <v>2</v>
      </c>
      <c r="M336" s="15">
        <v>-1</v>
      </c>
      <c r="N336" s="17">
        <v>191.76271463168436</v>
      </c>
      <c r="O336" s="16">
        <v>150</v>
      </c>
      <c r="P336" s="16">
        <v>100</v>
      </c>
      <c r="Q336" s="24">
        <v>5.2000000000000002E-6</v>
      </c>
      <c r="R336" s="18">
        <v>600</v>
      </c>
      <c r="S336" s="16">
        <v>5.78</v>
      </c>
      <c r="T336" s="16">
        <v>4.01</v>
      </c>
      <c r="U336" s="16">
        <v>3.71</v>
      </c>
      <c r="V336" s="16">
        <v>0.55000000000000004</v>
      </c>
      <c r="W336" s="18">
        <v>0.72</v>
      </c>
      <c r="X336" s="18">
        <v>0</v>
      </c>
      <c r="Y336" s="16">
        <v>0.3</v>
      </c>
      <c r="Z336" s="18">
        <v>0</v>
      </c>
      <c r="AA336" s="18">
        <v>0.09</v>
      </c>
      <c r="AB336" s="18">
        <v>0.06</v>
      </c>
      <c r="AC336" s="18">
        <v>7.0000000000000001E-3</v>
      </c>
      <c r="AD336" s="18">
        <v>0</v>
      </c>
    </row>
    <row r="337" spans="1:30" x14ac:dyDescent="0.3">
      <c r="A337" s="15" t="s">
        <v>290</v>
      </c>
      <c r="B337" s="15" t="s">
        <v>139</v>
      </c>
      <c r="C337" s="15" t="s">
        <v>9</v>
      </c>
      <c r="D337" s="15">
        <v>25</v>
      </c>
      <c r="E337" s="15">
        <v>76</v>
      </c>
      <c r="F337" s="15">
        <v>2</v>
      </c>
      <c r="G337" s="16">
        <v>945</v>
      </c>
      <c r="H337" s="16">
        <v>2</v>
      </c>
      <c r="I337" s="15" t="s">
        <v>21</v>
      </c>
      <c r="J337" s="16">
        <v>700</v>
      </c>
      <c r="K337" s="16">
        <v>2</v>
      </c>
      <c r="L337" s="15">
        <v>2</v>
      </c>
      <c r="M337" s="15">
        <v>-1</v>
      </c>
      <c r="N337" s="17">
        <v>191.76271463168436</v>
      </c>
      <c r="O337" s="16">
        <v>150</v>
      </c>
      <c r="P337" s="16">
        <v>100</v>
      </c>
      <c r="Q337" s="24">
        <v>6.8000000000000001E-6</v>
      </c>
      <c r="R337" s="18">
        <v>600</v>
      </c>
      <c r="S337" s="16">
        <v>5.8</v>
      </c>
      <c r="T337" s="16">
        <v>3.98</v>
      </c>
      <c r="U337" s="16">
        <v>3.74</v>
      </c>
      <c r="V337" s="16">
        <v>0.56999999999999995</v>
      </c>
      <c r="W337" s="18">
        <v>0.71</v>
      </c>
      <c r="X337" s="18">
        <v>0</v>
      </c>
      <c r="Y337" s="16">
        <v>0.28000000000000003</v>
      </c>
      <c r="Z337" s="18">
        <v>0</v>
      </c>
      <c r="AA337" s="18">
        <v>0.08</v>
      </c>
      <c r="AB337" s="18">
        <v>0.06</v>
      </c>
      <c r="AC337" s="18">
        <v>8.0000000000000002E-3</v>
      </c>
      <c r="AD337" s="18">
        <v>0</v>
      </c>
    </row>
    <row r="338" spans="1:30" x14ac:dyDescent="0.3">
      <c r="A338" s="15" t="s">
        <v>291</v>
      </c>
      <c r="B338" s="15" t="s">
        <v>139</v>
      </c>
      <c r="C338" s="15" t="s">
        <v>9</v>
      </c>
      <c r="D338" s="15">
        <v>25</v>
      </c>
      <c r="E338" s="15">
        <v>76</v>
      </c>
      <c r="F338" s="15">
        <v>2</v>
      </c>
      <c r="G338" s="16">
        <v>995</v>
      </c>
      <c r="H338" s="16">
        <v>2</v>
      </c>
      <c r="I338" s="15" t="s">
        <v>21</v>
      </c>
      <c r="J338" s="16">
        <v>700</v>
      </c>
      <c r="K338" s="16">
        <v>2</v>
      </c>
      <c r="L338" s="15">
        <v>2</v>
      </c>
      <c r="M338" s="15">
        <v>-1</v>
      </c>
      <c r="N338" s="17">
        <v>191.76271463168436</v>
      </c>
      <c r="O338" s="16">
        <v>150</v>
      </c>
      <c r="P338" s="16">
        <v>100</v>
      </c>
      <c r="Q338" s="24">
        <v>4.6E-6</v>
      </c>
      <c r="R338" s="18">
        <v>600</v>
      </c>
      <c r="S338" s="16">
        <v>5.8</v>
      </c>
      <c r="T338" s="16">
        <v>3.98</v>
      </c>
      <c r="U338" s="16">
        <v>3.74</v>
      </c>
      <c r="V338" s="16">
        <v>0.56999999999999995</v>
      </c>
      <c r="W338" s="18">
        <v>0.71</v>
      </c>
      <c r="X338" s="18">
        <v>0</v>
      </c>
      <c r="Y338" s="16">
        <v>0.28000000000000003</v>
      </c>
      <c r="Z338" s="18">
        <v>0</v>
      </c>
      <c r="AA338" s="18">
        <v>0.08</v>
      </c>
      <c r="AB338" s="18">
        <v>0.06</v>
      </c>
      <c r="AC338" s="18">
        <v>8.0000000000000002E-3</v>
      </c>
      <c r="AD338" s="18">
        <v>0</v>
      </c>
    </row>
    <row r="339" spans="1:30" x14ac:dyDescent="0.3">
      <c r="A339" s="15" t="s">
        <v>292</v>
      </c>
      <c r="B339" s="15" t="s">
        <v>139</v>
      </c>
      <c r="C339" s="15" t="s">
        <v>9</v>
      </c>
      <c r="D339" s="15">
        <v>25</v>
      </c>
      <c r="E339" s="15">
        <v>76</v>
      </c>
      <c r="F339" s="15">
        <v>2</v>
      </c>
      <c r="G339" s="16">
        <v>1025</v>
      </c>
      <c r="H339" s="16">
        <v>2</v>
      </c>
      <c r="I339" s="15" t="s">
        <v>21</v>
      </c>
      <c r="J339" s="16">
        <v>700</v>
      </c>
      <c r="K339" s="16">
        <v>2</v>
      </c>
      <c r="L339" s="15">
        <v>2</v>
      </c>
      <c r="M339" s="15">
        <v>-1</v>
      </c>
      <c r="N339" s="17">
        <v>191.76271463168436</v>
      </c>
      <c r="O339" s="16">
        <v>150</v>
      </c>
      <c r="P339" s="16">
        <v>100</v>
      </c>
      <c r="Q339" s="24">
        <v>2.3999999999999999E-6</v>
      </c>
      <c r="R339" s="18">
        <v>600</v>
      </c>
      <c r="S339" s="16">
        <v>5.8</v>
      </c>
      <c r="T339" s="16">
        <v>3.98</v>
      </c>
      <c r="U339" s="16">
        <v>3.74</v>
      </c>
      <c r="V339" s="16">
        <v>0.56999999999999995</v>
      </c>
      <c r="W339" s="18">
        <v>0.71</v>
      </c>
      <c r="X339" s="18">
        <v>0</v>
      </c>
      <c r="Y339" s="16">
        <v>0.28000000000000003</v>
      </c>
      <c r="Z339" s="18">
        <v>0</v>
      </c>
      <c r="AA339" s="18">
        <v>0.08</v>
      </c>
      <c r="AB339" s="18">
        <v>0.06</v>
      </c>
      <c r="AC339" s="18">
        <v>8.0000000000000002E-3</v>
      </c>
      <c r="AD339" s="18">
        <v>0</v>
      </c>
    </row>
    <row r="340" spans="1:30" x14ac:dyDescent="0.3">
      <c r="A340" s="15" t="s">
        <v>293</v>
      </c>
      <c r="B340" s="15" t="s">
        <v>139</v>
      </c>
      <c r="C340" s="15" t="s">
        <v>9</v>
      </c>
      <c r="D340" s="15">
        <v>25</v>
      </c>
      <c r="E340" s="15">
        <v>76</v>
      </c>
      <c r="F340" s="15">
        <v>2</v>
      </c>
      <c r="G340" s="16">
        <v>1055</v>
      </c>
      <c r="H340" s="16">
        <v>2</v>
      </c>
      <c r="I340" s="15" t="s">
        <v>21</v>
      </c>
      <c r="J340" s="16">
        <v>700</v>
      </c>
      <c r="K340" s="16">
        <v>2</v>
      </c>
      <c r="L340" s="15">
        <v>2</v>
      </c>
      <c r="M340" s="15">
        <v>-1</v>
      </c>
      <c r="N340" s="17">
        <v>191.76271463168436</v>
      </c>
      <c r="O340" s="16">
        <v>150</v>
      </c>
      <c r="P340" s="16">
        <v>100</v>
      </c>
      <c r="Q340" s="24">
        <v>6.0999999999999998E-7</v>
      </c>
      <c r="R340" s="18">
        <v>600</v>
      </c>
      <c r="S340" s="16">
        <v>5.8</v>
      </c>
      <c r="T340" s="16">
        <v>3.98</v>
      </c>
      <c r="U340" s="16">
        <v>3.74</v>
      </c>
      <c r="V340" s="16">
        <v>0.56999999999999995</v>
      </c>
      <c r="W340" s="18">
        <v>0.71</v>
      </c>
      <c r="X340" s="18">
        <v>0</v>
      </c>
      <c r="Y340" s="16">
        <v>0.28000000000000003</v>
      </c>
      <c r="Z340" s="18">
        <v>0</v>
      </c>
      <c r="AA340" s="18">
        <v>0.08</v>
      </c>
      <c r="AB340" s="18">
        <v>0.06</v>
      </c>
      <c r="AC340" s="18">
        <v>8.0000000000000002E-3</v>
      </c>
      <c r="AD340" s="18">
        <v>0</v>
      </c>
    </row>
    <row r="341" spans="1:30" x14ac:dyDescent="0.3">
      <c r="A341" s="15" t="s">
        <v>294</v>
      </c>
      <c r="B341" s="15" t="s">
        <v>139</v>
      </c>
      <c r="C341" s="15" t="s">
        <v>9</v>
      </c>
      <c r="D341" s="15">
        <v>25</v>
      </c>
      <c r="E341" s="15">
        <v>76</v>
      </c>
      <c r="F341" s="15">
        <v>2</v>
      </c>
      <c r="G341" s="16">
        <v>690</v>
      </c>
      <c r="H341" s="16">
        <v>4</v>
      </c>
      <c r="I341" s="15" t="s">
        <v>21</v>
      </c>
      <c r="J341" s="16">
        <v>1050</v>
      </c>
      <c r="K341" s="16">
        <v>0.5</v>
      </c>
      <c r="L341" s="15">
        <v>2</v>
      </c>
      <c r="M341" s="15">
        <v>-1</v>
      </c>
      <c r="N341" s="17">
        <v>120.53611098751878</v>
      </c>
      <c r="O341" s="16">
        <v>125</v>
      </c>
      <c r="P341" s="16">
        <v>102.12</v>
      </c>
      <c r="Q341" s="24">
        <v>3.8799999999999998E-7</v>
      </c>
      <c r="R341" s="18">
        <v>600</v>
      </c>
      <c r="S341" s="16">
        <v>6.75</v>
      </c>
      <c r="T341" s="16">
        <v>0</v>
      </c>
      <c r="U341" s="16">
        <v>0</v>
      </c>
      <c r="V341" s="16">
        <v>0</v>
      </c>
      <c r="W341" s="18">
        <v>0</v>
      </c>
      <c r="X341" s="18">
        <v>4.5</v>
      </c>
      <c r="Y341" s="16">
        <v>0</v>
      </c>
      <c r="Z341" s="18">
        <v>0.4</v>
      </c>
      <c r="AA341" s="18">
        <v>0.2</v>
      </c>
      <c r="AB341" s="18">
        <v>0.1</v>
      </c>
      <c r="AC341" s="18">
        <v>0.05</v>
      </c>
      <c r="AD341" s="18">
        <v>0.125</v>
      </c>
    </row>
    <row r="342" spans="1:30" x14ac:dyDescent="0.3">
      <c r="A342" s="15" t="s">
        <v>295</v>
      </c>
      <c r="B342" s="15" t="s">
        <v>139</v>
      </c>
      <c r="C342" s="15" t="s">
        <v>9</v>
      </c>
      <c r="D342" s="15">
        <v>25</v>
      </c>
      <c r="E342" s="15">
        <v>76</v>
      </c>
      <c r="F342" s="15">
        <v>2</v>
      </c>
      <c r="G342" s="16">
        <v>1050</v>
      </c>
      <c r="H342" s="16">
        <v>0.5</v>
      </c>
      <c r="I342" s="15" t="s">
        <v>21</v>
      </c>
      <c r="J342" s="16">
        <v>550</v>
      </c>
      <c r="K342" s="16">
        <v>24</v>
      </c>
      <c r="L342" s="15">
        <v>2</v>
      </c>
      <c r="M342" s="15">
        <v>-1</v>
      </c>
      <c r="N342" s="17">
        <v>142.7533791672729</v>
      </c>
      <c r="O342" s="16">
        <v>300</v>
      </c>
      <c r="P342" s="20">
        <v>105.196002816806</v>
      </c>
      <c r="Q342" s="24">
        <v>1.4399999999999999E-7</v>
      </c>
      <c r="R342" s="18">
        <v>500</v>
      </c>
      <c r="S342" s="16">
        <v>6</v>
      </c>
      <c r="T342" s="16">
        <v>0</v>
      </c>
      <c r="U342" s="16">
        <v>5</v>
      </c>
      <c r="V342" s="16">
        <v>0</v>
      </c>
      <c r="W342" s="18">
        <v>0.5</v>
      </c>
      <c r="X342" s="18">
        <v>0</v>
      </c>
      <c r="Y342" s="16">
        <v>0.25</v>
      </c>
      <c r="Z342" s="18">
        <v>0</v>
      </c>
      <c r="AA342" s="18">
        <v>0</v>
      </c>
      <c r="AB342" s="18">
        <v>0</v>
      </c>
      <c r="AC342" s="18">
        <v>0</v>
      </c>
      <c r="AD342" s="18">
        <v>0</v>
      </c>
    </row>
    <row r="343" spans="1:30" x14ac:dyDescent="0.3">
      <c r="A343" s="15" t="s">
        <v>296</v>
      </c>
      <c r="B343" s="15" t="s">
        <v>139</v>
      </c>
      <c r="C343" s="15" t="s">
        <v>9</v>
      </c>
      <c r="D343" s="15">
        <v>25</v>
      </c>
      <c r="E343" s="15">
        <v>76</v>
      </c>
      <c r="F343" s="15">
        <v>2</v>
      </c>
      <c r="G343" s="16">
        <v>0</v>
      </c>
      <c r="H343" s="16">
        <v>0</v>
      </c>
      <c r="I343" s="15" t="s">
        <v>21</v>
      </c>
      <c r="J343" s="16">
        <v>940</v>
      </c>
      <c r="K343" s="16">
        <v>4</v>
      </c>
      <c r="L343" s="15">
        <v>2</v>
      </c>
      <c r="M343" s="15">
        <v>-1</v>
      </c>
      <c r="N343" s="17">
        <v>87.807690439472196</v>
      </c>
      <c r="O343" s="16">
        <v>489</v>
      </c>
      <c r="P343" s="16">
        <v>107</v>
      </c>
      <c r="Q343" s="24">
        <v>1.5800000000000001E-5</v>
      </c>
      <c r="R343" s="18">
        <v>455</v>
      </c>
      <c r="S343" s="16">
        <v>6.51</v>
      </c>
      <c r="T343" s="16">
        <v>0</v>
      </c>
      <c r="U343" s="16">
        <v>0</v>
      </c>
      <c r="V343" s="16">
        <v>0</v>
      </c>
      <c r="W343" s="18">
        <v>0</v>
      </c>
      <c r="X343" s="18">
        <v>4.08</v>
      </c>
      <c r="Y343" s="16">
        <v>0</v>
      </c>
      <c r="Z343" s="18">
        <v>0.16</v>
      </c>
      <c r="AA343" s="18">
        <v>0.19</v>
      </c>
      <c r="AB343" s="18">
        <v>0.01</v>
      </c>
      <c r="AC343" s="18">
        <v>5.0000000000000001E-3</v>
      </c>
      <c r="AD343" s="18">
        <v>1.6000000000000001E-3</v>
      </c>
    </row>
    <row r="344" spans="1:30" x14ac:dyDescent="0.3">
      <c r="A344" s="15" t="s">
        <v>297</v>
      </c>
      <c r="B344" s="15" t="s">
        <v>139</v>
      </c>
      <c r="C344" s="15" t="s">
        <v>9</v>
      </c>
      <c r="D344" s="15">
        <v>25</v>
      </c>
      <c r="E344" s="15">
        <v>76</v>
      </c>
      <c r="F344" s="15">
        <v>2</v>
      </c>
      <c r="G344" s="16">
        <v>1050</v>
      </c>
      <c r="H344" s="16">
        <v>0.5</v>
      </c>
      <c r="I344" s="15" t="s">
        <v>21</v>
      </c>
      <c r="J344" s="16">
        <v>550</v>
      </c>
      <c r="K344" s="16">
        <v>24</v>
      </c>
      <c r="L344" s="15">
        <v>2</v>
      </c>
      <c r="M344" s="15">
        <v>-1</v>
      </c>
      <c r="N344" s="17">
        <v>142.7533791672729</v>
      </c>
      <c r="O344" s="16">
        <v>300</v>
      </c>
      <c r="P344" s="20">
        <v>113.76085644344499</v>
      </c>
      <c r="Q344" s="24">
        <v>9.2700000000000003E-8</v>
      </c>
      <c r="R344" s="18">
        <v>500</v>
      </c>
      <c r="S344" s="16">
        <v>6</v>
      </c>
      <c r="T344" s="16">
        <v>0</v>
      </c>
      <c r="U344" s="16">
        <v>5</v>
      </c>
      <c r="V344" s="16">
        <v>0</v>
      </c>
      <c r="W344" s="18">
        <v>0.5</v>
      </c>
      <c r="X344" s="18">
        <v>0</v>
      </c>
      <c r="Y344" s="16">
        <v>0.25</v>
      </c>
      <c r="Z344" s="18">
        <v>0</v>
      </c>
      <c r="AA344" s="18">
        <v>0</v>
      </c>
      <c r="AB344" s="18">
        <v>0</v>
      </c>
      <c r="AC344" s="18">
        <v>0</v>
      </c>
      <c r="AD344" s="18">
        <v>0</v>
      </c>
    </row>
    <row r="345" spans="1:30" x14ac:dyDescent="0.3">
      <c r="A345" s="15" t="s">
        <v>298</v>
      </c>
      <c r="B345" s="15" t="s">
        <v>139</v>
      </c>
      <c r="C345" s="15" t="s">
        <v>9</v>
      </c>
      <c r="D345" s="15">
        <v>25</v>
      </c>
      <c r="E345" s="15">
        <v>76</v>
      </c>
      <c r="F345" s="15">
        <v>2</v>
      </c>
      <c r="G345" s="16">
        <v>0</v>
      </c>
      <c r="H345" s="16">
        <v>0</v>
      </c>
      <c r="I345" s="15" t="s">
        <v>21</v>
      </c>
      <c r="J345" s="16">
        <v>1260</v>
      </c>
      <c r="K345" s="16">
        <v>4</v>
      </c>
      <c r="L345" s="15">
        <v>2</v>
      </c>
      <c r="M345" s="15">
        <v>-1</v>
      </c>
      <c r="N345" s="17">
        <v>87.807690439472196</v>
      </c>
      <c r="O345" s="16">
        <v>250</v>
      </c>
      <c r="P345" s="16">
        <v>118.15</v>
      </c>
      <c r="Q345" s="24">
        <v>7.8199999999999999E-7</v>
      </c>
      <c r="R345" s="18">
        <v>750</v>
      </c>
      <c r="S345" s="16">
        <v>48</v>
      </c>
      <c r="T345" s="16">
        <v>0</v>
      </c>
      <c r="U345" s="16">
        <v>0</v>
      </c>
      <c r="V345" s="16">
        <v>2</v>
      </c>
      <c r="W345" s="18">
        <v>0</v>
      </c>
      <c r="X345" s="18">
        <v>0</v>
      </c>
      <c r="Y345" s="16">
        <v>0</v>
      </c>
      <c r="Z345" s="18">
        <v>0</v>
      </c>
      <c r="AA345" s="18">
        <v>0</v>
      </c>
      <c r="AB345" s="18">
        <v>0</v>
      </c>
      <c r="AC345" s="18">
        <v>0</v>
      </c>
      <c r="AD345" s="18">
        <v>0</v>
      </c>
    </row>
    <row r="346" spans="1:30" x14ac:dyDescent="0.3">
      <c r="A346" s="15" t="s">
        <v>299</v>
      </c>
      <c r="B346" s="15" t="s">
        <v>139</v>
      </c>
      <c r="C346" s="15" t="s">
        <v>9</v>
      </c>
      <c r="D346" s="15">
        <v>25</v>
      </c>
      <c r="E346" s="15">
        <v>76</v>
      </c>
      <c r="F346" s="15">
        <v>2</v>
      </c>
      <c r="G346" s="16">
        <v>0</v>
      </c>
      <c r="H346" s="16">
        <v>0</v>
      </c>
      <c r="I346" s="15" t="s">
        <v>21</v>
      </c>
      <c r="J346" s="16">
        <v>993</v>
      </c>
      <c r="K346" s="16">
        <v>2</v>
      </c>
      <c r="L346" s="15">
        <v>2</v>
      </c>
      <c r="M346" s="15">
        <v>-1</v>
      </c>
      <c r="N346" s="17">
        <v>87.807690439472196</v>
      </c>
      <c r="O346" s="16">
        <v>410.5</v>
      </c>
      <c r="P346" s="16">
        <v>128.72999999999999</v>
      </c>
      <c r="Q346" s="18">
        <v>0</v>
      </c>
      <c r="R346" s="18">
        <v>773</v>
      </c>
      <c r="S346" s="16">
        <v>6.29</v>
      </c>
      <c r="T346" s="16">
        <v>0</v>
      </c>
      <c r="U346" s="16">
        <v>0</v>
      </c>
      <c r="V346" s="16">
        <v>0</v>
      </c>
      <c r="W346" s="18">
        <v>0</v>
      </c>
      <c r="X346" s="18">
        <v>4.13</v>
      </c>
      <c r="Y346" s="16">
        <v>0</v>
      </c>
      <c r="Z346" s="18">
        <v>0.19400000000000001</v>
      </c>
      <c r="AA346" s="18">
        <v>0.16600000000000001</v>
      </c>
      <c r="AB346" s="18">
        <v>5.4999999999999997E-3</v>
      </c>
      <c r="AC346" s="18">
        <v>7.7000000000000002E-3</v>
      </c>
      <c r="AD346" s="18">
        <v>4.4000000000000003E-3</v>
      </c>
    </row>
    <row r="347" spans="1:30" x14ac:dyDescent="0.3">
      <c r="A347" s="15" t="s">
        <v>300</v>
      </c>
      <c r="B347" s="15" t="s">
        <v>139</v>
      </c>
      <c r="C347" s="15" t="s">
        <v>9</v>
      </c>
      <c r="D347" s="15">
        <v>25</v>
      </c>
      <c r="E347" s="15">
        <v>76</v>
      </c>
      <c r="F347" s="15">
        <v>2</v>
      </c>
      <c r="G347" s="16">
        <v>1050</v>
      </c>
      <c r="H347" s="16">
        <v>0.5</v>
      </c>
      <c r="I347" s="15" t="s">
        <v>21</v>
      </c>
      <c r="J347" s="16">
        <v>550</v>
      </c>
      <c r="K347" s="16">
        <v>24</v>
      </c>
      <c r="L347" s="15">
        <v>2</v>
      </c>
      <c r="M347" s="15">
        <v>-1</v>
      </c>
      <c r="N347" s="17">
        <v>142.7533791672729</v>
      </c>
      <c r="O347" s="16">
        <v>300</v>
      </c>
      <c r="P347" s="20">
        <v>135.825844203749</v>
      </c>
      <c r="Q347" s="24">
        <v>8.3599999999999994E-8</v>
      </c>
      <c r="R347" s="18">
        <v>500</v>
      </c>
      <c r="S347" s="16">
        <v>6</v>
      </c>
      <c r="T347" s="16">
        <v>0</v>
      </c>
      <c r="U347" s="16">
        <v>5</v>
      </c>
      <c r="V347" s="16">
        <v>0</v>
      </c>
      <c r="W347" s="18">
        <v>0.5</v>
      </c>
      <c r="X347" s="18">
        <v>0</v>
      </c>
      <c r="Y347" s="16">
        <v>0.25</v>
      </c>
      <c r="Z347" s="18">
        <v>0</v>
      </c>
      <c r="AA347" s="18">
        <v>0</v>
      </c>
      <c r="AB347" s="18">
        <v>0</v>
      </c>
      <c r="AC347" s="18">
        <v>0</v>
      </c>
      <c r="AD347" s="18">
        <v>0</v>
      </c>
    </row>
    <row r="348" spans="1:30" x14ac:dyDescent="0.3">
      <c r="A348" s="15" t="s">
        <v>301</v>
      </c>
      <c r="B348" s="15" t="s">
        <v>139</v>
      </c>
      <c r="C348" s="15" t="s">
        <v>9</v>
      </c>
      <c r="D348" s="15">
        <v>25</v>
      </c>
      <c r="E348" s="15">
        <v>76</v>
      </c>
      <c r="F348" s="15">
        <v>2</v>
      </c>
      <c r="G348" s="16">
        <v>995</v>
      </c>
      <c r="H348" s="16">
        <v>2</v>
      </c>
      <c r="I348" s="15" t="s">
        <v>21</v>
      </c>
      <c r="J348" s="16">
        <v>700</v>
      </c>
      <c r="K348" s="16">
        <v>2</v>
      </c>
      <c r="L348" s="15">
        <v>2</v>
      </c>
      <c r="M348" s="15">
        <v>-1</v>
      </c>
      <c r="N348" s="17">
        <v>191.76271463168436</v>
      </c>
      <c r="O348" s="16">
        <v>150</v>
      </c>
      <c r="P348" s="16">
        <v>139</v>
      </c>
      <c r="Q348" s="18">
        <v>0</v>
      </c>
      <c r="R348" s="18">
        <v>600</v>
      </c>
      <c r="S348" s="16">
        <v>5.78</v>
      </c>
      <c r="T348" s="16">
        <v>4.01</v>
      </c>
      <c r="U348" s="16">
        <v>3.71</v>
      </c>
      <c r="V348" s="16">
        <v>0.55000000000000004</v>
      </c>
      <c r="W348" s="18">
        <v>0.72</v>
      </c>
      <c r="X348" s="18">
        <v>0</v>
      </c>
      <c r="Y348" s="16">
        <v>0.3</v>
      </c>
      <c r="Z348" s="18">
        <v>0</v>
      </c>
      <c r="AA348" s="18">
        <v>0.09</v>
      </c>
      <c r="AB348" s="18">
        <v>0.06</v>
      </c>
      <c r="AC348" s="18">
        <v>7.0000000000000001E-3</v>
      </c>
      <c r="AD348" s="18">
        <v>0</v>
      </c>
    </row>
    <row r="349" spans="1:30" x14ac:dyDescent="0.3">
      <c r="A349" s="15" t="s">
        <v>302</v>
      </c>
      <c r="B349" s="15" t="s">
        <v>139</v>
      </c>
      <c r="C349" s="15" t="s">
        <v>9</v>
      </c>
      <c r="D349" s="15">
        <v>25</v>
      </c>
      <c r="E349" s="15">
        <v>76</v>
      </c>
      <c r="F349" s="15">
        <v>2</v>
      </c>
      <c r="G349" s="16">
        <v>0</v>
      </c>
      <c r="H349" s="16">
        <v>0</v>
      </c>
      <c r="I349" s="15" t="s">
        <v>21</v>
      </c>
      <c r="J349" s="16">
        <v>1260</v>
      </c>
      <c r="K349" s="16">
        <v>4</v>
      </c>
      <c r="L349" s="15">
        <v>2</v>
      </c>
      <c r="M349" s="15">
        <v>-1</v>
      </c>
      <c r="N349" s="17">
        <v>87.807690439472196</v>
      </c>
      <c r="O349" s="16">
        <v>275</v>
      </c>
      <c r="P349" s="16">
        <v>140.49</v>
      </c>
      <c r="Q349" s="24">
        <v>8.7499999999999999E-7</v>
      </c>
      <c r="R349" s="18">
        <v>750</v>
      </c>
      <c r="S349" s="16">
        <v>48</v>
      </c>
      <c r="T349" s="16">
        <v>0</v>
      </c>
      <c r="U349" s="16">
        <v>0</v>
      </c>
      <c r="V349" s="16">
        <v>2</v>
      </c>
      <c r="W349" s="18">
        <v>0</v>
      </c>
      <c r="X349" s="18">
        <v>0</v>
      </c>
      <c r="Y349" s="16">
        <v>0</v>
      </c>
      <c r="Z349" s="18">
        <v>0</v>
      </c>
      <c r="AA349" s="18">
        <v>0</v>
      </c>
      <c r="AB349" s="18">
        <v>0</v>
      </c>
      <c r="AC349" s="18">
        <v>0</v>
      </c>
      <c r="AD349" s="18">
        <v>0</v>
      </c>
    </row>
    <row r="350" spans="1:30" x14ac:dyDescent="0.3">
      <c r="A350" s="15" t="s">
        <v>303</v>
      </c>
      <c r="B350" s="15" t="s">
        <v>139</v>
      </c>
      <c r="C350" s="15" t="s">
        <v>9</v>
      </c>
      <c r="D350" s="15">
        <v>25</v>
      </c>
      <c r="E350" s="15">
        <v>76</v>
      </c>
      <c r="F350" s="15">
        <v>2</v>
      </c>
      <c r="G350" s="21">
        <v>0</v>
      </c>
      <c r="H350" s="21">
        <v>0</v>
      </c>
      <c r="I350" s="15" t="s">
        <v>21</v>
      </c>
      <c r="J350" s="21">
        <v>900</v>
      </c>
      <c r="K350" s="21">
        <v>2</v>
      </c>
      <c r="L350" s="15">
        <v>2</v>
      </c>
      <c r="M350" s="15">
        <v>-1</v>
      </c>
      <c r="N350" s="17">
        <v>87.807690439472196</v>
      </c>
      <c r="O350" s="21">
        <v>300</v>
      </c>
      <c r="P350" s="21">
        <v>148.33000000000001</v>
      </c>
      <c r="Q350" s="26">
        <v>4.7199999999999999E-8</v>
      </c>
      <c r="R350" s="22">
        <v>475</v>
      </c>
      <c r="S350" s="21">
        <v>6</v>
      </c>
      <c r="T350" s="21">
        <v>0</v>
      </c>
      <c r="U350" s="21">
        <v>0</v>
      </c>
      <c r="V350" s="21">
        <v>0</v>
      </c>
      <c r="W350" s="22">
        <v>0</v>
      </c>
      <c r="X350" s="22">
        <v>4</v>
      </c>
      <c r="Y350" s="21">
        <v>0</v>
      </c>
      <c r="Z350" s="18">
        <v>0.25</v>
      </c>
      <c r="AA350" s="22">
        <v>0.2</v>
      </c>
      <c r="AB350" s="22">
        <v>0.08</v>
      </c>
      <c r="AC350" s="22">
        <v>0.05</v>
      </c>
      <c r="AD350" s="22">
        <v>0.01</v>
      </c>
    </row>
    <row r="351" spans="1:30" x14ac:dyDescent="0.3">
      <c r="A351" s="15" t="s">
        <v>304</v>
      </c>
      <c r="B351" s="15" t="s">
        <v>139</v>
      </c>
      <c r="C351" s="15" t="s">
        <v>9</v>
      </c>
      <c r="D351" s="15">
        <v>25</v>
      </c>
      <c r="E351" s="15">
        <v>76</v>
      </c>
      <c r="F351" s="15">
        <v>2</v>
      </c>
      <c r="G351" s="16">
        <v>980</v>
      </c>
      <c r="H351" s="16">
        <v>0</v>
      </c>
      <c r="I351" s="15" t="s">
        <v>21</v>
      </c>
      <c r="J351" s="16">
        <v>480</v>
      </c>
      <c r="K351" s="16">
        <v>24</v>
      </c>
      <c r="L351" s="15">
        <v>2</v>
      </c>
      <c r="M351" s="15">
        <v>-1</v>
      </c>
      <c r="N351" s="17">
        <v>113.2794113756545</v>
      </c>
      <c r="O351" s="16">
        <v>575</v>
      </c>
      <c r="P351" s="16">
        <v>151.5</v>
      </c>
      <c r="Q351" s="24">
        <v>1.3300000000000001E-7</v>
      </c>
      <c r="R351" s="18">
        <v>420</v>
      </c>
      <c r="S351" s="16">
        <v>6.33</v>
      </c>
      <c r="T351" s="16">
        <v>0</v>
      </c>
      <c r="U351" s="16">
        <v>0</v>
      </c>
      <c r="V351" s="16">
        <v>0</v>
      </c>
      <c r="W351" s="18">
        <v>0</v>
      </c>
      <c r="X351" s="18">
        <v>4</v>
      </c>
      <c r="Y351" s="16">
        <v>0</v>
      </c>
      <c r="Z351" s="18">
        <v>0.2</v>
      </c>
      <c r="AA351" s="18">
        <v>0.17</v>
      </c>
      <c r="AB351" s="18">
        <v>0.03</v>
      </c>
      <c r="AC351" s="18">
        <v>0.01</v>
      </c>
      <c r="AD351" s="18">
        <v>4.0000000000000001E-3</v>
      </c>
    </row>
    <row r="352" spans="1:30" x14ac:dyDescent="0.3">
      <c r="A352" s="15" t="s">
        <v>305</v>
      </c>
      <c r="B352" s="15" t="s">
        <v>139</v>
      </c>
      <c r="C352" s="15" t="s">
        <v>9</v>
      </c>
      <c r="D352" s="15">
        <v>25</v>
      </c>
      <c r="E352" s="15">
        <v>76</v>
      </c>
      <c r="F352" s="15">
        <v>2</v>
      </c>
      <c r="G352" s="16">
        <v>0</v>
      </c>
      <c r="H352" s="16">
        <v>0</v>
      </c>
      <c r="I352" s="15" t="s">
        <v>21</v>
      </c>
      <c r="J352" s="16">
        <v>900</v>
      </c>
      <c r="K352" s="16">
        <v>2</v>
      </c>
      <c r="L352" s="15">
        <v>2</v>
      </c>
      <c r="M352" s="15">
        <v>-1</v>
      </c>
      <c r="N352" s="17">
        <v>87.807690439472196</v>
      </c>
      <c r="O352" s="16">
        <v>300</v>
      </c>
      <c r="P352" s="16">
        <v>154.72</v>
      </c>
      <c r="Q352" s="24">
        <v>1.36E-7</v>
      </c>
      <c r="R352" s="18">
        <v>500</v>
      </c>
      <c r="S352" s="16">
        <v>6</v>
      </c>
      <c r="T352" s="16">
        <v>0</v>
      </c>
      <c r="U352" s="16">
        <v>0</v>
      </c>
      <c r="V352" s="16">
        <v>0</v>
      </c>
      <c r="W352" s="18">
        <v>0</v>
      </c>
      <c r="X352" s="18">
        <v>4</v>
      </c>
      <c r="Y352" s="16">
        <v>0</v>
      </c>
      <c r="Z352" s="18">
        <v>0.25</v>
      </c>
      <c r="AA352" s="18">
        <v>0.2</v>
      </c>
      <c r="AB352" s="18">
        <v>0.08</v>
      </c>
      <c r="AC352" s="18">
        <v>0.05</v>
      </c>
      <c r="AD352" s="18">
        <v>0.01</v>
      </c>
    </row>
    <row r="353" spans="1:30" x14ac:dyDescent="0.3">
      <c r="A353" s="15" t="s">
        <v>306</v>
      </c>
      <c r="B353" s="15" t="s">
        <v>139</v>
      </c>
      <c r="C353" s="15" t="s">
        <v>9</v>
      </c>
      <c r="D353" s="15">
        <v>25</v>
      </c>
      <c r="E353" s="15">
        <v>76</v>
      </c>
      <c r="F353" s="15">
        <v>2</v>
      </c>
      <c r="G353" s="16">
        <v>945</v>
      </c>
      <c r="H353" s="16">
        <v>2</v>
      </c>
      <c r="I353" s="15" t="s">
        <v>21</v>
      </c>
      <c r="J353" s="16">
        <v>700</v>
      </c>
      <c r="K353" s="16">
        <v>2</v>
      </c>
      <c r="L353" s="15">
        <v>2</v>
      </c>
      <c r="M353" s="15">
        <v>-1</v>
      </c>
      <c r="N353" s="17">
        <v>191.76271463168436</v>
      </c>
      <c r="O353" s="16">
        <v>150</v>
      </c>
      <c r="P353" s="16">
        <v>155</v>
      </c>
      <c r="Q353" s="18">
        <v>0</v>
      </c>
      <c r="R353" s="18">
        <v>600</v>
      </c>
      <c r="S353" s="16">
        <v>5.78</v>
      </c>
      <c r="T353" s="16">
        <v>4.01</v>
      </c>
      <c r="U353" s="16">
        <v>3.71</v>
      </c>
      <c r="V353" s="16">
        <v>0.55000000000000004</v>
      </c>
      <c r="W353" s="18">
        <v>0.72</v>
      </c>
      <c r="X353" s="18">
        <v>0</v>
      </c>
      <c r="Y353" s="16">
        <v>0.3</v>
      </c>
      <c r="Z353" s="18">
        <v>0</v>
      </c>
      <c r="AA353" s="18">
        <v>0.09</v>
      </c>
      <c r="AB353" s="18">
        <v>0.06</v>
      </c>
      <c r="AC353" s="18">
        <v>7.0000000000000001E-3</v>
      </c>
      <c r="AD353" s="18">
        <v>0</v>
      </c>
    </row>
    <row r="354" spans="1:30" x14ac:dyDescent="0.3">
      <c r="A354" s="15" t="s">
        <v>307</v>
      </c>
      <c r="B354" s="15" t="s">
        <v>139</v>
      </c>
      <c r="C354" s="15" t="s">
        <v>9</v>
      </c>
      <c r="D354" s="15">
        <v>25</v>
      </c>
      <c r="E354" s="15">
        <v>76</v>
      </c>
      <c r="F354" s="15">
        <v>2</v>
      </c>
      <c r="G354" s="16">
        <v>1050</v>
      </c>
      <c r="H354" s="16">
        <v>0.5</v>
      </c>
      <c r="I354" s="15" t="s">
        <v>21</v>
      </c>
      <c r="J354" s="16">
        <v>950</v>
      </c>
      <c r="K354" s="16">
        <v>1</v>
      </c>
      <c r="L354" s="15">
        <v>2</v>
      </c>
      <c r="M354" s="15">
        <v>-1</v>
      </c>
      <c r="N354" s="17">
        <v>115.97769428737872</v>
      </c>
      <c r="O354" s="16">
        <v>291</v>
      </c>
      <c r="P354" s="16">
        <v>165</v>
      </c>
      <c r="Q354" s="24">
        <v>4.7799999999999996E-9</v>
      </c>
      <c r="R354" s="18">
        <v>500</v>
      </c>
      <c r="S354" s="16">
        <v>6.61</v>
      </c>
      <c r="T354" s="16">
        <v>0</v>
      </c>
      <c r="U354" s="16">
        <v>0</v>
      </c>
      <c r="V354" s="16">
        <v>0</v>
      </c>
      <c r="W354" s="18">
        <v>0</v>
      </c>
      <c r="X354" s="18">
        <v>4.2300000000000004</v>
      </c>
      <c r="Y354" s="16">
        <v>0</v>
      </c>
      <c r="Z354" s="18">
        <v>1.18</v>
      </c>
      <c r="AA354" s="18">
        <v>0.13</v>
      </c>
      <c r="AB354" s="18">
        <v>2.5999999999999999E-2</v>
      </c>
      <c r="AC354" s="18">
        <v>1.0999999999999999E-2</v>
      </c>
      <c r="AD354" s="18">
        <v>3.0000000000000001E-3</v>
      </c>
    </row>
    <row r="355" spans="1:30" x14ac:dyDescent="0.3">
      <c r="A355" s="15" t="s">
        <v>308</v>
      </c>
      <c r="B355" s="15" t="s">
        <v>139</v>
      </c>
      <c r="C355" s="15" t="s">
        <v>9</v>
      </c>
      <c r="D355" s="15">
        <v>25</v>
      </c>
      <c r="E355" s="15">
        <v>76</v>
      </c>
      <c r="F355" s="15">
        <v>2</v>
      </c>
      <c r="G355" s="16">
        <v>0</v>
      </c>
      <c r="H355" s="16">
        <v>0</v>
      </c>
      <c r="I355" s="15" t="s">
        <v>21</v>
      </c>
      <c r="J355" s="16">
        <v>1260</v>
      </c>
      <c r="K355" s="16">
        <v>4</v>
      </c>
      <c r="L355" s="15">
        <v>2</v>
      </c>
      <c r="M355" s="15">
        <v>-1</v>
      </c>
      <c r="N355" s="17">
        <v>87.807690439472196</v>
      </c>
      <c r="O355" s="16">
        <v>300</v>
      </c>
      <c r="P355" s="16">
        <v>165.7</v>
      </c>
      <c r="Q355" s="24">
        <v>8.9500000000000001E-7</v>
      </c>
      <c r="R355" s="18">
        <v>750</v>
      </c>
      <c r="S355" s="16">
        <v>48</v>
      </c>
      <c r="T355" s="16">
        <v>0</v>
      </c>
      <c r="U355" s="16">
        <v>0</v>
      </c>
      <c r="V355" s="16">
        <v>2</v>
      </c>
      <c r="W355" s="18">
        <v>0</v>
      </c>
      <c r="X355" s="18">
        <v>0</v>
      </c>
      <c r="Y355" s="16">
        <v>0</v>
      </c>
      <c r="Z355" s="18">
        <v>0</v>
      </c>
      <c r="AA355" s="18">
        <v>0</v>
      </c>
      <c r="AB355" s="18">
        <v>0</v>
      </c>
      <c r="AC355" s="18">
        <v>0</v>
      </c>
      <c r="AD355" s="18">
        <v>0</v>
      </c>
    </row>
    <row r="356" spans="1:30" x14ac:dyDescent="0.3">
      <c r="A356" s="15" t="s">
        <v>309</v>
      </c>
      <c r="B356" s="15" t="s">
        <v>139</v>
      </c>
      <c r="C356" s="15" t="s">
        <v>9</v>
      </c>
      <c r="D356" s="15">
        <v>25</v>
      </c>
      <c r="E356" s="15">
        <v>76</v>
      </c>
      <c r="F356" s="15">
        <v>2</v>
      </c>
      <c r="G356" s="16">
        <v>1000</v>
      </c>
      <c r="H356" s="16">
        <v>0</v>
      </c>
      <c r="I356" s="15" t="s">
        <v>21</v>
      </c>
      <c r="J356" s="16">
        <v>480</v>
      </c>
      <c r="K356" s="16">
        <v>24</v>
      </c>
      <c r="L356" s="15">
        <v>2</v>
      </c>
      <c r="M356" s="15">
        <v>-1</v>
      </c>
      <c r="N356" s="17">
        <v>113.2794113756545</v>
      </c>
      <c r="O356" s="16">
        <v>575</v>
      </c>
      <c r="P356" s="16">
        <v>180</v>
      </c>
      <c r="Q356" s="24">
        <v>8.8899999999999995E-8</v>
      </c>
      <c r="R356" s="18">
        <v>420</v>
      </c>
      <c r="S356" s="16">
        <v>6.33</v>
      </c>
      <c r="T356" s="16">
        <v>0</v>
      </c>
      <c r="U356" s="16">
        <v>0</v>
      </c>
      <c r="V356" s="16">
        <v>0</v>
      </c>
      <c r="W356" s="18">
        <v>0</v>
      </c>
      <c r="X356" s="18">
        <v>4</v>
      </c>
      <c r="Y356" s="16">
        <v>0</v>
      </c>
      <c r="Z356" s="18">
        <v>0.2</v>
      </c>
      <c r="AA356" s="18">
        <v>0.17</v>
      </c>
      <c r="AB356" s="18">
        <v>0.03</v>
      </c>
      <c r="AC356" s="18">
        <v>0.01</v>
      </c>
      <c r="AD356" s="18">
        <v>4.0000000000000001E-3</v>
      </c>
    </row>
    <row r="357" spans="1:30" x14ac:dyDescent="0.3">
      <c r="A357" s="15" t="s">
        <v>310</v>
      </c>
      <c r="B357" s="15" t="s">
        <v>139</v>
      </c>
      <c r="C357" s="15" t="s">
        <v>9</v>
      </c>
      <c r="D357" s="15">
        <v>25</v>
      </c>
      <c r="E357" s="15">
        <v>76</v>
      </c>
      <c r="F357" s="15">
        <v>2</v>
      </c>
      <c r="G357" s="16">
        <v>0</v>
      </c>
      <c r="H357" s="16">
        <v>0</v>
      </c>
      <c r="I357" s="15" t="s">
        <v>21</v>
      </c>
      <c r="J357" s="16">
        <v>900</v>
      </c>
      <c r="K357" s="16">
        <v>2</v>
      </c>
      <c r="L357" s="15">
        <v>2</v>
      </c>
      <c r="M357" s="15">
        <v>-1</v>
      </c>
      <c r="N357" s="17">
        <v>87.807690439472196</v>
      </c>
      <c r="O357" s="16">
        <v>300</v>
      </c>
      <c r="P357" s="16">
        <v>185.27</v>
      </c>
      <c r="Q357" s="24">
        <v>1.06E-7</v>
      </c>
      <c r="R357" s="18">
        <v>500</v>
      </c>
      <c r="S357" s="16">
        <v>6</v>
      </c>
      <c r="T357" s="16">
        <v>0</v>
      </c>
      <c r="U357" s="16">
        <v>0</v>
      </c>
      <c r="V357" s="16">
        <v>0</v>
      </c>
      <c r="W357" s="18">
        <v>0</v>
      </c>
      <c r="X357" s="18">
        <v>4</v>
      </c>
      <c r="Y357" s="16">
        <v>0</v>
      </c>
      <c r="Z357" s="18">
        <v>0.25</v>
      </c>
      <c r="AA357" s="18">
        <v>0.2</v>
      </c>
      <c r="AB357" s="18">
        <v>0.08</v>
      </c>
      <c r="AC357" s="18">
        <v>0.05</v>
      </c>
      <c r="AD357" s="18">
        <v>0.01</v>
      </c>
    </row>
    <row r="358" spans="1:30" x14ac:dyDescent="0.3">
      <c r="A358" s="15" t="s">
        <v>311</v>
      </c>
      <c r="B358" s="15" t="s">
        <v>139</v>
      </c>
      <c r="C358" s="15" t="s">
        <v>9</v>
      </c>
      <c r="D358" s="15">
        <v>25</v>
      </c>
      <c r="E358" s="15">
        <v>76</v>
      </c>
      <c r="F358" s="15">
        <v>2</v>
      </c>
      <c r="G358" s="16">
        <v>0</v>
      </c>
      <c r="H358" s="16">
        <v>0</v>
      </c>
      <c r="I358" s="15" t="s">
        <v>21</v>
      </c>
      <c r="J358" s="16">
        <v>1260</v>
      </c>
      <c r="K358" s="16">
        <v>4</v>
      </c>
      <c r="L358" s="15">
        <v>2</v>
      </c>
      <c r="M358" s="15">
        <v>-1</v>
      </c>
      <c r="N358" s="17">
        <v>87.807690439472196</v>
      </c>
      <c r="O358" s="16">
        <v>325</v>
      </c>
      <c r="P358" s="16">
        <v>192.36</v>
      </c>
      <c r="Q358" s="24">
        <v>9.0599999999999999E-7</v>
      </c>
      <c r="R358" s="18">
        <v>750</v>
      </c>
      <c r="S358" s="16">
        <v>48</v>
      </c>
      <c r="T358" s="16">
        <v>0</v>
      </c>
      <c r="U358" s="16">
        <v>0</v>
      </c>
      <c r="V358" s="16">
        <v>2</v>
      </c>
      <c r="W358" s="18">
        <v>0</v>
      </c>
      <c r="X358" s="18">
        <v>0</v>
      </c>
      <c r="Y358" s="16">
        <v>0</v>
      </c>
      <c r="Z358" s="18">
        <v>0</v>
      </c>
      <c r="AA358" s="18">
        <v>0</v>
      </c>
      <c r="AB358" s="18">
        <v>0</v>
      </c>
      <c r="AC358" s="18">
        <v>0</v>
      </c>
      <c r="AD358" s="18">
        <v>0</v>
      </c>
    </row>
    <row r="359" spans="1:30" x14ac:dyDescent="0.3">
      <c r="A359" s="15" t="s">
        <v>312</v>
      </c>
      <c r="B359" s="15" t="s">
        <v>139</v>
      </c>
      <c r="C359" s="15" t="s">
        <v>9</v>
      </c>
      <c r="D359" s="15">
        <v>25</v>
      </c>
      <c r="E359" s="15">
        <v>76</v>
      </c>
      <c r="F359" s="15">
        <v>2</v>
      </c>
      <c r="G359" s="16">
        <v>0</v>
      </c>
      <c r="H359" s="16">
        <v>0</v>
      </c>
      <c r="I359" s="15" t="s">
        <v>21</v>
      </c>
      <c r="J359" s="16">
        <v>1030</v>
      </c>
      <c r="K359" s="16">
        <v>0.5</v>
      </c>
      <c r="L359" s="15">
        <v>2</v>
      </c>
      <c r="M359" s="15">
        <v>-1</v>
      </c>
      <c r="N359" s="17">
        <v>89.057510095960126</v>
      </c>
      <c r="O359" s="16">
        <v>489</v>
      </c>
      <c r="P359" s="16">
        <v>209</v>
      </c>
      <c r="Q359" s="24">
        <v>1.03E-5</v>
      </c>
      <c r="R359" s="18">
        <v>455</v>
      </c>
      <c r="S359" s="16">
        <v>6.51</v>
      </c>
      <c r="T359" s="16">
        <v>0</v>
      </c>
      <c r="U359" s="16">
        <v>0</v>
      </c>
      <c r="V359" s="16">
        <v>0</v>
      </c>
      <c r="W359" s="18">
        <v>0</v>
      </c>
      <c r="X359" s="18">
        <v>4.08</v>
      </c>
      <c r="Y359" s="16">
        <v>0</v>
      </c>
      <c r="Z359" s="18">
        <v>0.16</v>
      </c>
      <c r="AA359" s="18">
        <v>0.19</v>
      </c>
      <c r="AB359" s="18">
        <v>0.01</v>
      </c>
      <c r="AC359" s="18">
        <v>5.0000000000000001E-3</v>
      </c>
      <c r="AD359" s="18">
        <v>1.6000000000000001E-3</v>
      </c>
    </row>
    <row r="360" spans="1:30" x14ac:dyDescent="0.3">
      <c r="A360" s="15" t="s">
        <v>313</v>
      </c>
      <c r="B360" s="15" t="s">
        <v>139</v>
      </c>
      <c r="C360" s="15" t="s">
        <v>9</v>
      </c>
      <c r="D360" s="15">
        <v>25</v>
      </c>
      <c r="E360" s="15">
        <v>76</v>
      </c>
      <c r="F360" s="15">
        <v>2</v>
      </c>
      <c r="G360" s="16">
        <v>1025</v>
      </c>
      <c r="H360" s="16">
        <v>2</v>
      </c>
      <c r="I360" s="15" t="s">
        <v>21</v>
      </c>
      <c r="J360" s="16">
        <v>700</v>
      </c>
      <c r="K360" s="16">
        <v>2</v>
      </c>
      <c r="L360" s="15">
        <v>2</v>
      </c>
      <c r="M360" s="15">
        <v>-1</v>
      </c>
      <c r="N360" s="17">
        <v>191.76271463168436</v>
      </c>
      <c r="O360" s="16">
        <v>150</v>
      </c>
      <c r="P360" s="16">
        <v>210</v>
      </c>
      <c r="Q360" s="18">
        <v>0</v>
      </c>
      <c r="R360" s="18">
        <v>600</v>
      </c>
      <c r="S360" s="16">
        <v>5.78</v>
      </c>
      <c r="T360" s="16">
        <v>4.01</v>
      </c>
      <c r="U360" s="16">
        <v>3.71</v>
      </c>
      <c r="V360" s="16">
        <v>0.55000000000000004</v>
      </c>
      <c r="W360" s="18">
        <v>0.72</v>
      </c>
      <c r="X360" s="18">
        <v>0</v>
      </c>
      <c r="Y360" s="16">
        <v>0.3</v>
      </c>
      <c r="Z360" s="18">
        <v>0</v>
      </c>
      <c r="AA360" s="18">
        <v>0.09</v>
      </c>
      <c r="AB360" s="18">
        <v>0.06</v>
      </c>
      <c r="AC360" s="18">
        <v>7.0000000000000001E-3</v>
      </c>
      <c r="AD360" s="18">
        <v>0</v>
      </c>
    </row>
    <row r="361" spans="1:30" x14ac:dyDescent="0.3">
      <c r="A361" s="15" t="s">
        <v>314</v>
      </c>
      <c r="B361" s="15" t="s">
        <v>139</v>
      </c>
      <c r="C361" s="15" t="s">
        <v>9</v>
      </c>
      <c r="D361" s="15">
        <v>25</v>
      </c>
      <c r="E361" s="15">
        <v>76</v>
      </c>
      <c r="F361" s="15">
        <v>2</v>
      </c>
      <c r="G361" s="16">
        <v>690</v>
      </c>
      <c r="H361" s="16">
        <v>4</v>
      </c>
      <c r="I361" s="15" t="s">
        <v>21</v>
      </c>
      <c r="J361" s="16">
        <v>1050</v>
      </c>
      <c r="K361" s="16">
        <v>0.5</v>
      </c>
      <c r="L361" s="15">
        <v>2</v>
      </c>
      <c r="M361" s="15">
        <v>-1</v>
      </c>
      <c r="N361" s="17">
        <v>120.53611098751878</v>
      </c>
      <c r="O361" s="16">
        <v>319</v>
      </c>
      <c r="P361" s="16">
        <v>224</v>
      </c>
      <c r="Q361" s="24">
        <v>9.7199999999999997E-8</v>
      </c>
      <c r="R361" s="18">
        <v>500</v>
      </c>
      <c r="S361" s="16">
        <v>6.75</v>
      </c>
      <c r="T361" s="16">
        <v>0</v>
      </c>
      <c r="U361" s="16">
        <v>0</v>
      </c>
      <c r="V361" s="16">
        <v>0</v>
      </c>
      <c r="W361" s="18">
        <v>0</v>
      </c>
      <c r="X361" s="18">
        <v>4.5</v>
      </c>
      <c r="Y361" s="16">
        <v>0</v>
      </c>
      <c r="Z361" s="18">
        <v>0.4</v>
      </c>
      <c r="AA361" s="18">
        <v>0.2</v>
      </c>
      <c r="AB361" s="18">
        <v>0.1</v>
      </c>
      <c r="AC361" s="18">
        <v>0.05</v>
      </c>
      <c r="AD361" s="18">
        <v>0.125</v>
      </c>
    </row>
    <row r="362" spans="1:30" x14ac:dyDescent="0.3">
      <c r="A362" s="15" t="s">
        <v>315</v>
      </c>
      <c r="B362" s="15" t="s">
        <v>139</v>
      </c>
      <c r="C362" s="15" t="s">
        <v>9</v>
      </c>
      <c r="D362" s="15">
        <v>25</v>
      </c>
      <c r="E362" s="15">
        <v>76</v>
      </c>
      <c r="F362" s="15">
        <v>2</v>
      </c>
      <c r="G362" s="16">
        <v>1100</v>
      </c>
      <c r="H362" s="16">
        <v>0.42</v>
      </c>
      <c r="I362" s="15" t="s">
        <v>21</v>
      </c>
      <c r="J362" s="16">
        <v>480</v>
      </c>
      <c r="K362" s="16">
        <v>150</v>
      </c>
      <c r="L362" s="15">
        <v>2</v>
      </c>
      <c r="M362" s="15">
        <v>-1</v>
      </c>
      <c r="N362" s="17">
        <v>130.85696349278345</v>
      </c>
      <c r="O362" s="16">
        <v>575</v>
      </c>
      <c r="P362" s="16">
        <v>230</v>
      </c>
      <c r="Q362" s="24">
        <v>5.0299999999999997E-4</v>
      </c>
      <c r="R362" s="18">
        <v>410</v>
      </c>
      <c r="S362" s="16">
        <v>6.33</v>
      </c>
      <c r="T362" s="16">
        <v>0</v>
      </c>
      <c r="U362" s="16">
        <v>0</v>
      </c>
      <c r="V362" s="16">
        <v>0</v>
      </c>
      <c r="W362" s="18">
        <v>0</v>
      </c>
      <c r="X362" s="18">
        <v>4</v>
      </c>
      <c r="Y362" s="16">
        <v>0</v>
      </c>
      <c r="Z362" s="18">
        <v>0.2</v>
      </c>
      <c r="AA362" s="18">
        <v>0.17</v>
      </c>
      <c r="AB362" s="18">
        <v>0.03</v>
      </c>
      <c r="AC362" s="18">
        <v>0.01</v>
      </c>
      <c r="AD362" s="18">
        <v>4.0000000000000001E-3</v>
      </c>
    </row>
    <row r="363" spans="1:30" x14ac:dyDescent="0.3">
      <c r="A363" s="15" t="s">
        <v>316</v>
      </c>
      <c r="B363" s="15" t="s">
        <v>139</v>
      </c>
      <c r="C363" s="15" t="s">
        <v>9</v>
      </c>
      <c r="D363" s="15">
        <v>25</v>
      </c>
      <c r="E363" s="15">
        <v>76</v>
      </c>
      <c r="F363" s="15">
        <v>2</v>
      </c>
      <c r="G363" s="16">
        <v>1025</v>
      </c>
      <c r="H363" s="16">
        <v>2</v>
      </c>
      <c r="I363" s="15" t="s">
        <v>21</v>
      </c>
      <c r="J363" s="16">
        <v>700</v>
      </c>
      <c r="K363" s="16">
        <v>2</v>
      </c>
      <c r="L363" s="15">
        <v>2</v>
      </c>
      <c r="M363" s="15">
        <v>-1</v>
      </c>
      <c r="N363" s="17">
        <v>191.76271463168436</v>
      </c>
      <c r="O363" s="16">
        <v>150</v>
      </c>
      <c r="P363" s="16">
        <v>266.55</v>
      </c>
      <c r="Q363" s="18">
        <v>0</v>
      </c>
      <c r="R363" s="18">
        <v>600</v>
      </c>
      <c r="S363" s="16">
        <v>5.8</v>
      </c>
      <c r="T363" s="16">
        <v>3.98</v>
      </c>
      <c r="U363" s="16">
        <v>3.74</v>
      </c>
      <c r="V363" s="16">
        <v>0.56999999999999995</v>
      </c>
      <c r="W363" s="18">
        <v>0.71</v>
      </c>
      <c r="X363" s="18">
        <v>0</v>
      </c>
      <c r="Y363" s="16">
        <v>0.28000000000000003</v>
      </c>
      <c r="Z363" s="18">
        <v>0</v>
      </c>
      <c r="AA363" s="18">
        <v>0.08</v>
      </c>
      <c r="AB363" s="18">
        <v>0.06</v>
      </c>
      <c r="AC363" s="18">
        <v>8.0000000000000002E-3</v>
      </c>
      <c r="AD363" s="18">
        <v>0</v>
      </c>
    </row>
    <row r="364" spans="1:30" x14ac:dyDescent="0.3">
      <c r="A364" s="15" t="s">
        <v>317</v>
      </c>
      <c r="B364" s="15" t="s">
        <v>139</v>
      </c>
      <c r="C364" s="15" t="s">
        <v>9</v>
      </c>
      <c r="D364" s="15">
        <v>25</v>
      </c>
      <c r="E364" s="15">
        <v>76</v>
      </c>
      <c r="F364" s="15">
        <v>2</v>
      </c>
      <c r="G364" s="16">
        <v>0</v>
      </c>
      <c r="H364" s="16">
        <v>0</v>
      </c>
      <c r="I364" s="15" t="s">
        <v>21</v>
      </c>
      <c r="J364" s="16">
        <v>0</v>
      </c>
      <c r="K364" s="16">
        <v>0</v>
      </c>
      <c r="L364" s="15">
        <v>2</v>
      </c>
      <c r="M364" s="15">
        <v>-1</v>
      </c>
      <c r="N364" s="17">
        <v>48.904755675984347</v>
      </c>
      <c r="O364" s="19">
        <v>400</v>
      </c>
      <c r="P364" s="19">
        <v>270</v>
      </c>
      <c r="Q364" s="25">
        <v>8.4100000000000005E-8</v>
      </c>
      <c r="R364" s="19">
        <v>450</v>
      </c>
      <c r="S364" s="16">
        <v>6.44</v>
      </c>
      <c r="T364" s="16">
        <v>0</v>
      </c>
      <c r="U364" s="16">
        <v>0</v>
      </c>
      <c r="V364" s="16">
        <v>0</v>
      </c>
      <c r="W364" s="18">
        <v>0</v>
      </c>
      <c r="X364" s="18">
        <v>3.87</v>
      </c>
      <c r="Y364" s="16">
        <v>0</v>
      </c>
      <c r="Z364" s="18">
        <v>0.25</v>
      </c>
      <c r="AA364" s="18">
        <v>0.2</v>
      </c>
      <c r="AB364" s="18">
        <v>0.08</v>
      </c>
      <c r="AC364" s="18">
        <v>0.05</v>
      </c>
      <c r="AD364" s="18">
        <v>0.01</v>
      </c>
    </row>
    <row r="365" spans="1:30" x14ac:dyDescent="0.3">
      <c r="A365" s="15" t="s">
        <v>318</v>
      </c>
      <c r="B365" s="15" t="s">
        <v>139</v>
      </c>
      <c r="C365" s="15" t="s">
        <v>9</v>
      </c>
      <c r="D365" s="15">
        <v>25</v>
      </c>
      <c r="E365" s="15">
        <v>76</v>
      </c>
      <c r="F365" s="15">
        <v>2</v>
      </c>
      <c r="G365" s="16">
        <v>1050</v>
      </c>
      <c r="H365" s="16">
        <v>0.5</v>
      </c>
      <c r="I365" s="15" t="s">
        <v>21</v>
      </c>
      <c r="J365" s="16">
        <v>550</v>
      </c>
      <c r="K365" s="16">
        <v>24</v>
      </c>
      <c r="L365" s="15">
        <v>2</v>
      </c>
      <c r="M365" s="15">
        <v>-1</v>
      </c>
      <c r="N365" s="17">
        <v>142.7533791672729</v>
      </c>
      <c r="O365" s="16">
        <v>300</v>
      </c>
      <c r="P365" s="20">
        <v>306.697461520405</v>
      </c>
      <c r="Q365" s="24">
        <v>9.2700000000000003E-8</v>
      </c>
      <c r="R365" s="18">
        <v>500</v>
      </c>
      <c r="S365" s="16">
        <v>6</v>
      </c>
      <c r="T365" s="16">
        <v>0</v>
      </c>
      <c r="U365" s="16">
        <v>5</v>
      </c>
      <c r="V365" s="16">
        <v>0</v>
      </c>
      <c r="W365" s="18">
        <v>0.5</v>
      </c>
      <c r="X365" s="18">
        <v>0</v>
      </c>
      <c r="Y365" s="16">
        <v>0.25</v>
      </c>
      <c r="Z365" s="18">
        <v>0</v>
      </c>
      <c r="AA365" s="18">
        <v>0</v>
      </c>
      <c r="AB365" s="18">
        <v>0</v>
      </c>
      <c r="AC365" s="18">
        <v>0</v>
      </c>
      <c r="AD365" s="18">
        <v>0</v>
      </c>
    </row>
    <row r="366" spans="1:30" x14ac:dyDescent="0.3">
      <c r="A366" s="15" t="s">
        <v>319</v>
      </c>
      <c r="B366" s="15" t="s">
        <v>139</v>
      </c>
      <c r="C366" s="15" t="s">
        <v>9</v>
      </c>
      <c r="D366" s="15">
        <v>25</v>
      </c>
      <c r="E366" s="15">
        <v>76</v>
      </c>
      <c r="F366" s="15">
        <v>2</v>
      </c>
      <c r="G366" s="16">
        <v>0</v>
      </c>
      <c r="H366" s="16">
        <v>0</v>
      </c>
      <c r="I366" s="15" t="s">
        <v>21</v>
      </c>
      <c r="J366" s="16">
        <v>993</v>
      </c>
      <c r="K366" s="16">
        <v>2</v>
      </c>
      <c r="L366" s="15">
        <v>2</v>
      </c>
      <c r="M366" s="15">
        <v>-1</v>
      </c>
      <c r="N366" s="17">
        <v>87.807690439472196</v>
      </c>
      <c r="O366" s="16">
        <v>333.78</v>
      </c>
      <c r="P366" s="16">
        <v>322.62</v>
      </c>
      <c r="Q366" s="18">
        <v>0</v>
      </c>
      <c r="R366" s="18">
        <v>773</v>
      </c>
      <c r="S366" s="16">
        <v>6.29</v>
      </c>
      <c r="T366" s="16">
        <v>0</v>
      </c>
      <c r="U366" s="16">
        <v>0</v>
      </c>
      <c r="V366" s="16">
        <v>0</v>
      </c>
      <c r="W366" s="18">
        <v>0</v>
      </c>
      <c r="X366" s="18">
        <v>4.13</v>
      </c>
      <c r="Y366" s="16">
        <v>0</v>
      </c>
      <c r="Z366" s="18">
        <v>0.19400000000000001</v>
      </c>
      <c r="AA366" s="18">
        <v>0.16600000000000001</v>
      </c>
      <c r="AB366" s="18">
        <v>5.4999999999999997E-3</v>
      </c>
      <c r="AC366" s="18">
        <v>7.7000000000000002E-3</v>
      </c>
      <c r="AD366" s="18">
        <v>4.4000000000000003E-3</v>
      </c>
    </row>
    <row r="367" spans="1:30" x14ac:dyDescent="0.3">
      <c r="A367" s="15" t="s">
        <v>320</v>
      </c>
      <c r="B367" s="15" t="s">
        <v>139</v>
      </c>
      <c r="C367" s="15" t="s">
        <v>9</v>
      </c>
      <c r="D367" s="15">
        <v>25</v>
      </c>
      <c r="E367" s="15">
        <v>76</v>
      </c>
      <c r="F367" s="15">
        <v>2</v>
      </c>
      <c r="G367" s="16">
        <v>1050</v>
      </c>
      <c r="H367" s="16">
        <v>0.5</v>
      </c>
      <c r="I367" s="15" t="s">
        <v>21</v>
      </c>
      <c r="J367" s="16">
        <v>550</v>
      </c>
      <c r="K367" s="16">
        <v>24</v>
      </c>
      <c r="L367" s="15">
        <v>2</v>
      </c>
      <c r="M367" s="15">
        <v>-1</v>
      </c>
      <c r="N367" s="17">
        <v>142.7533791672729</v>
      </c>
      <c r="O367" s="16">
        <v>300</v>
      </c>
      <c r="P367" s="20">
        <v>328.278310586499</v>
      </c>
      <c r="Q367" s="24">
        <v>1.4399999999999999E-7</v>
      </c>
      <c r="R367" s="18">
        <v>500</v>
      </c>
      <c r="S367" s="16">
        <v>6</v>
      </c>
      <c r="T367" s="16">
        <v>0</v>
      </c>
      <c r="U367" s="16">
        <v>5</v>
      </c>
      <c r="V367" s="16">
        <v>0</v>
      </c>
      <c r="W367" s="18">
        <v>0.5</v>
      </c>
      <c r="X367" s="18">
        <v>0</v>
      </c>
      <c r="Y367" s="16">
        <v>0.25</v>
      </c>
      <c r="Z367" s="18">
        <v>0</v>
      </c>
      <c r="AA367" s="18">
        <v>0</v>
      </c>
      <c r="AB367" s="18">
        <v>0</v>
      </c>
      <c r="AC367" s="18">
        <v>0</v>
      </c>
      <c r="AD367" s="18">
        <v>0</v>
      </c>
    </row>
    <row r="368" spans="1:30" x14ac:dyDescent="0.3">
      <c r="A368" s="15" t="s">
        <v>321</v>
      </c>
      <c r="B368" s="15" t="s">
        <v>139</v>
      </c>
      <c r="C368" s="15" t="s">
        <v>9</v>
      </c>
      <c r="D368" s="15">
        <v>25</v>
      </c>
      <c r="E368" s="15">
        <v>76</v>
      </c>
      <c r="F368" s="15">
        <v>2</v>
      </c>
      <c r="G368" s="16">
        <v>0</v>
      </c>
      <c r="H368" s="16">
        <v>0</v>
      </c>
      <c r="I368" s="15" t="s">
        <v>21</v>
      </c>
      <c r="J368" s="16">
        <v>1123</v>
      </c>
      <c r="K368" s="16">
        <v>6</v>
      </c>
      <c r="L368" s="15">
        <v>2</v>
      </c>
      <c r="M368" s="15">
        <v>-1</v>
      </c>
      <c r="N368" s="17">
        <v>87.807690439472196</v>
      </c>
      <c r="O368" s="16">
        <v>364</v>
      </c>
      <c r="P368" s="16">
        <v>359.23</v>
      </c>
      <c r="Q368" s="18">
        <v>0</v>
      </c>
      <c r="R368" s="18">
        <v>773</v>
      </c>
      <c r="S368" s="16">
        <v>6.29</v>
      </c>
      <c r="T368" s="16">
        <v>0</v>
      </c>
      <c r="U368" s="16">
        <v>0</v>
      </c>
      <c r="V368" s="16">
        <v>0</v>
      </c>
      <c r="W368" s="18">
        <v>0</v>
      </c>
      <c r="X368" s="18">
        <v>4.13</v>
      </c>
      <c r="Y368" s="16">
        <v>0</v>
      </c>
      <c r="Z368" s="18">
        <v>0.19400000000000001</v>
      </c>
      <c r="AA368" s="18">
        <v>0.16600000000000001</v>
      </c>
      <c r="AB368" s="18">
        <v>5.4999999999999997E-3</v>
      </c>
      <c r="AC368" s="18">
        <v>7.7000000000000002E-3</v>
      </c>
      <c r="AD368" s="18">
        <v>4.4000000000000003E-3</v>
      </c>
    </row>
    <row r="369" spans="1:30" x14ac:dyDescent="0.3">
      <c r="A369" s="15" t="s">
        <v>322</v>
      </c>
      <c r="B369" s="15" t="s">
        <v>139</v>
      </c>
      <c r="C369" s="15" t="s">
        <v>9</v>
      </c>
      <c r="D369" s="15">
        <v>25</v>
      </c>
      <c r="E369" s="15">
        <v>76</v>
      </c>
      <c r="F369" s="15">
        <v>2</v>
      </c>
      <c r="G369" s="16">
        <v>1050</v>
      </c>
      <c r="H369" s="16">
        <v>0.5</v>
      </c>
      <c r="I369" s="15" t="s">
        <v>21</v>
      </c>
      <c r="J369" s="16">
        <v>550</v>
      </c>
      <c r="K369" s="16">
        <v>24</v>
      </c>
      <c r="L369" s="15">
        <v>2</v>
      </c>
      <c r="M369" s="15">
        <v>-1</v>
      </c>
      <c r="N369" s="17">
        <v>142.7533791672729</v>
      </c>
      <c r="O369" s="16">
        <v>300</v>
      </c>
      <c r="P369" s="20">
        <v>371.03802689379899</v>
      </c>
      <c r="Q369" s="24">
        <v>8.3599999999999994E-8</v>
      </c>
      <c r="R369" s="18">
        <v>500</v>
      </c>
      <c r="S369" s="16">
        <v>6</v>
      </c>
      <c r="T369" s="16">
        <v>0</v>
      </c>
      <c r="U369" s="16">
        <v>5</v>
      </c>
      <c r="V369" s="16">
        <v>0</v>
      </c>
      <c r="W369" s="18">
        <v>0.5</v>
      </c>
      <c r="X369" s="18">
        <v>0</v>
      </c>
      <c r="Y369" s="16">
        <v>0.25</v>
      </c>
      <c r="Z369" s="18">
        <v>0</v>
      </c>
      <c r="AA369" s="18">
        <v>0</v>
      </c>
      <c r="AB369" s="18">
        <v>0</v>
      </c>
      <c r="AC369" s="18">
        <v>0</v>
      </c>
      <c r="AD369" s="18">
        <v>0</v>
      </c>
    </row>
    <row r="370" spans="1:30" x14ac:dyDescent="0.3">
      <c r="A370" s="15" t="s">
        <v>323</v>
      </c>
      <c r="B370" s="15" t="s">
        <v>139</v>
      </c>
      <c r="C370" s="15" t="s">
        <v>9</v>
      </c>
      <c r="D370" s="15">
        <v>25</v>
      </c>
      <c r="E370" s="15">
        <v>76</v>
      </c>
      <c r="F370" s="15">
        <v>2</v>
      </c>
      <c r="G370" s="16">
        <v>0</v>
      </c>
      <c r="H370" s="16">
        <v>0</v>
      </c>
      <c r="I370" s="15" t="s">
        <v>21</v>
      </c>
      <c r="J370" s="16">
        <v>1373</v>
      </c>
      <c r="K370" s="16">
        <v>1</v>
      </c>
      <c r="L370" s="15">
        <v>2</v>
      </c>
      <c r="M370" s="15">
        <v>-1</v>
      </c>
      <c r="N370" s="17">
        <v>89.057510095960126</v>
      </c>
      <c r="O370" s="16">
        <v>364.1</v>
      </c>
      <c r="P370" s="16">
        <v>412.33</v>
      </c>
      <c r="Q370" s="18">
        <v>0</v>
      </c>
      <c r="R370" s="18">
        <v>773</v>
      </c>
      <c r="S370" s="16">
        <v>6.29</v>
      </c>
      <c r="T370" s="16">
        <v>0</v>
      </c>
      <c r="U370" s="16">
        <v>0</v>
      </c>
      <c r="V370" s="16">
        <v>0</v>
      </c>
      <c r="W370" s="18">
        <v>0</v>
      </c>
      <c r="X370" s="18">
        <v>4.13</v>
      </c>
      <c r="Y370" s="16">
        <v>0</v>
      </c>
      <c r="Z370" s="18">
        <v>0.19400000000000001</v>
      </c>
      <c r="AA370" s="18">
        <v>0.16600000000000001</v>
      </c>
      <c r="AB370" s="18">
        <v>5.4999999999999997E-3</v>
      </c>
      <c r="AC370" s="18">
        <v>7.7000000000000002E-3</v>
      </c>
      <c r="AD370" s="18">
        <v>4.4000000000000003E-3</v>
      </c>
    </row>
    <row r="371" spans="1:30" x14ac:dyDescent="0.3">
      <c r="A371" s="15" t="s">
        <v>324</v>
      </c>
      <c r="B371" s="15" t="s">
        <v>139</v>
      </c>
      <c r="C371" s="15" t="s">
        <v>9</v>
      </c>
      <c r="D371" s="15">
        <v>25</v>
      </c>
      <c r="E371" s="15">
        <v>76</v>
      </c>
      <c r="F371" s="15">
        <v>2</v>
      </c>
      <c r="G371" s="16">
        <v>0</v>
      </c>
      <c r="H371" s="16">
        <v>0</v>
      </c>
      <c r="I371" s="15" t="s">
        <v>21</v>
      </c>
      <c r="J371" s="16">
        <v>0</v>
      </c>
      <c r="K371" s="16">
        <v>0</v>
      </c>
      <c r="L371" s="15">
        <v>2</v>
      </c>
      <c r="M371" s="15">
        <v>-1</v>
      </c>
      <c r="N371" s="17">
        <v>48.904755675984347</v>
      </c>
      <c r="O371" s="19">
        <v>125</v>
      </c>
      <c r="P371" s="19">
        <v>427</v>
      </c>
      <c r="Q371" s="25">
        <v>8.3299999999999998E-8</v>
      </c>
      <c r="R371" s="19">
        <v>500</v>
      </c>
      <c r="S371" s="16">
        <v>6</v>
      </c>
      <c r="T371" s="16">
        <v>0</v>
      </c>
      <c r="U371" s="16">
        <v>0</v>
      </c>
      <c r="V371" s="16">
        <v>0</v>
      </c>
      <c r="W371" s="18">
        <v>0</v>
      </c>
      <c r="X371" s="18">
        <v>4</v>
      </c>
      <c r="Y371" s="16">
        <v>0</v>
      </c>
      <c r="Z371" s="18">
        <v>0.4</v>
      </c>
      <c r="AA371" s="18">
        <v>0.2</v>
      </c>
      <c r="AB371" s="18">
        <v>0.08</v>
      </c>
      <c r="AC371" s="18">
        <v>0.05</v>
      </c>
      <c r="AD371" s="18">
        <v>1.4999999999999999E-2</v>
      </c>
    </row>
    <row r="372" spans="1:30" x14ac:dyDescent="0.3">
      <c r="A372" s="15" t="s">
        <v>325</v>
      </c>
      <c r="B372" s="15" t="s">
        <v>139</v>
      </c>
      <c r="C372" s="15" t="s">
        <v>9</v>
      </c>
      <c r="D372" s="15">
        <v>25</v>
      </c>
      <c r="E372" s="15">
        <v>76</v>
      </c>
      <c r="F372" s="15">
        <v>2</v>
      </c>
      <c r="G372" s="16">
        <v>940</v>
      </c>
      <c r="H372" s="16">
        <v>0</v>
      </c>
      <c r="I372" s="15" t="s">
        <v>21</v>
      </c>
      <c r="J372" s="16">
        <v>480</v>
      </c>
      <c r="K372" s="16">
        <v>24</v>
      </c>
      <c r="L372" s="15">
        <v>2</v>
      </c>
      <c r="M372" s="15">
        <v>-1</v>
      </c>
      <c r="N372" s="17">
        <v>113.2794113756545</v>
      </c>
      <c r="O372" s="16">
        <v>575</v>
      </c>
      <c r="P372" s="16">
        <v>430</v>
      </c>
      <c r="Q372" s="24">
        <v>7.3099999999999999E-4</v>
      </c>
      <c r="R372" s="18">
        <v>400</v>
      </c>
      <c r="S372" s="16">
        <v>6.33</v>
      </c>
      <c r="T372" s="16">
        <v>0</v>
      </c>
      <c r="U372" s="16">
        <v>0</v>
      </c>
      <c r="V372" s="16">
        <v>0</v>
      </c>
      <c r="W372" s="18">
        <v>0</v>
      </c>
      <c r="X372" s="18">
        <v>4</v>
      </c>
      <c r="Y372" s="16">
        <v>0</v>
      </c>
      <c r="Z372" s="18">
        <v>0.2</v>
      </c>
      <c r="AA372" s="18">
        <v>0.17</v>
      </c>
      <c r="AB372" s="18">
        <v>0.03</v>
      </c>
      <c r="AC372" s="18">
        <v>0.01</v>
      </c>
      <c r="AD372" s="18">
        <v>4.0000000000000001E-3</v>
      </c>
    </row>
    <row r="373" spans="1:30" x14ac:dyDescent="0.3">
      <c r="A373" s="15" t="s">
        <v>326</v>
      </c>
      <c r="B373" s="15" t="s">
        <v>139</v>
      </c>
      <c r="C373" s="15" t="s">
        <v>9</v>
      </c>
      <c r="D373" s="15">
        <v>25</v>
      </c>
      <c r="E373" s="15">
        <v>76</v>
      </c>
      <c r="F373" s="15">
        <v>2</v>
      </c>
      <c r="G373" s="16">
        <v>995</v>
      </c>
      <c r="H373" s="16">
        <v>2</v>
      </c>
      <c r="I373" s="15" t="s">
        <v>21</v>
      </c>
      <c r="J373" s="16">
        <v>700</v>
      </c>
      <c r="K373" s="16">
        <v>2</v>
      </c>
      <c r="L373" s="15">
        <v>2</v>
      </c>
      <c r="M373" s="15">
        <v>-1</v>
      </c>
      <c r="N373" s="17">
        <v>191.76271463168436</v>
      </c>
      <c r="O373" s="16">
        <v>150</v>
      </c>
      <c r="P373" s="16">
        <v>432</v>
      </c>
      <c r="Q373" s="18">
        <v>0</v>
      </c>
      <c r="R373" s="18">
        <v>600</v>
      </c>
      <c r="S373" s="16">
        <v>5.8</v>
      </c>
      <c r="T373" s="16">
        <v>3.98</v>
      </c>
      <c r="U373" s="16">
        <v>3.74</v>
      </c>
      <c r="V373" s="16">
        <v>0.56999999999999995</v>
      </c>
      <c r="W373" s="18">
        <v>0.71</v>
      </c>
      <c r="X373" s="18">
        <v>0</v>
      </c>
      <c r="Y373" s="16">
        <v>0.28000000000000003</v>
      </c>
      <c r="Z373" s="18">
        <v>0</v>
      </c>
      <c r="AA373" s="18">
        <v>0.08</v>
      </c>
      <c r="AB373" s="18">
        <v>0.06</v>
      </c>
      <c r="AC373" s="18">
        <v>8.0000000000000002E-3</v>
      </c>
      <c r="AD373" s="18">
        <v>0</v>
      </c>
    </row>
    <row r="374" spans="1:30" x14ac:dyDescent="0.3">
      <c r="A374" s="15" t="s">
        <v>327</v>
      </c>
      <c r="B374" s="15" t="s">
        <v>139</v>
      </c>
      <c r="C374" s="15" t="s">
        <v>9</v>
      </c>
      <c r="D374" s="15">
        <v>25</v>
      </c>
      <c r="E374" s="15">
        <v>76</v>
      </c>
      <c r="F374" s="15">
        <v>2</v>
      </c>
      <c r="G374" s="16">
        <v>980</v>
      </c>
      <c r="H374" s="16">
        <v>0</v>
      </c>
      <c r="I374" s="15" t="s">
        <v>21</v>
      </c>
      <c r="J374" s="16">
        <v>480</v>
      </c>
      <c r="K374" s="16">
        <v>24</v>
      </c>
      <c r="L374" s="15">
        <v>2</v>
      </c>
      <c r="M374" s="15">
        <v>-1</v>
      </c>
      <c r="N374" s="17">
        <v>113.2794113756545</v>
      </c>
      <c r="O374" s="16">
        <v>575</v>
      </c>
      <c r="P374" s="16">
        <v>447.57</v>
      </c>
      <c r="Q374" s="24">
        <v>0</v>
      </c>
      <c r="R374" s="18">
        <v>400</v>
      </c>
      <c r="S374" s="16">
        <v>6.33</v>
      </c>
      <c r="T374" s="16">
        <v>0</v>
      </c>
      <c r="U374" s="16">
        <v>0</v>
      </c>
      <c r="V374" s="16">
        <v>0</v>
      </c>
      <c r="W374" s="18">
        <v>0</v>
      </c>
      <c r="X374" s="18">
        <v>4</v>
      </c>
      <c r="Y374" s="16">
        <v>0</v>
      </c>
      <c r="Z374" s="18">
        <v>0.2</v>
      </c>
      <c r="AA374" s="18">
        <v>0.17</v>
      </c>
      <c r="AB374" s="18">
        <v>0.03</v>
      </c>
      <c r="AC374" s="18">
        <v>0.01</v>
      </c>
      <c r="AD374" s="18">
        <v>4.0000000000000001E-3</v>
      </c>
    </row>
    <row r="375" spans="1:30" x14ac:dyDescent="0.3">
      <c r="A375" s="15" t="s">
        <v>328</v>
      </c>
      <c r="B375" s="15" t="s">
        <v>139</v>
      </c>
      <c r="C375" s="15" t="s">
        <v>9</v>
      </c>
      <c r="D375" s="15">
        <v>25</v>
      </c>
      <c r="E375" s="15">
        <v>76</v>
      </c>
      <c r="F375" s="15">
        <v>2</v>
      </c>
      <c r="G375" s="16">
        <v>1000</v>
      </c>
      <c r="H375" s="16">
        <v>0</v>
      </c>
      <c r="I375" s="15" t="s">
        <v>21</v>
      </c>
      <c r="J375" s="16">
        <v>480</v>
      </c>
      <c r="K375" s="16">
        <v>24</v>
      </c>
      <c r="L375" s="15">
        <v>2</v>
      </c>
      <c r="M375" s="15">
        <v>-1</v>
      </c>
      <c r="N375" s="17">
        <v>113.2794113756545</v>
      </c>
      <c r="O375" s="16">
        <v>575</v>
      </c>
      <c r="P375" s="16">
        <v>448</v>
      </c>
      <c r="Q375" s="24">
        <v>3.3199999999999999E-4</v>
      </c>
      <c r="R375" s="18">
        <v>400</v>
      </c>
      <c r="S375" s="16">
        <v>6.33</v>
      </c>
      <c r="T375" s="16">
        <v>0</v>
      </c>
      <c r="U375" s="16">
        <v>0</v>
      </c>
      <c r="V375" s="16">
        <v>0</v>
      </c>
      <c r="W375" s="18">
        <v>0</v>
      </c>
      <c r="X375" s="18">
        <v>4</v>
      </c>
      <c r="Y375" s="16">
        <v>0</v>
      </c>
      <c r="Z375" s="18">
        <v>0.2</v>
      </c>
      <c r="AA375" s="18">
        <v>0.17</v>
      </c>
      <c r="AB375" s="18">
        <v>0.03</v>
      </c>
      <c r="AC375" s="18">
        <v>0.01</v>
      </c>
      <c r="AD375" s="18">
        <v>4.0000000000000001E-3</v>
      </c>
    </row>
    <row r="376" spans="1:30" x14ac:dyDescent="0.3">
      <c r="A376" s="15" t="s">
        <v>329</v>
      </c>
      <c r="B376" s="15" t="s">
        <v>139</v>
      </c>
      <c r="C376" s="15" t="s">
        <v>9</v>
      </c>
      <c r="D376" s="15">
        <v>25</v>
      </c>
      <c r="E376" s="15">
        <v>76</v>
      </c>
      <c r="F376" s="15">
        <v>2</v>
      </c>
      <c r="G376" s="16">
        <v>0</v>
      </c>
      <c r="H376" s="16">
        <v>0</v>
      </c>
      <c r="I376" s="15" t="s">
        <v>21</v>
      </c>
      <c r="J376" s="16">
        <v>1373</v>
      </c>
      <c r="K376" s="16">
        <v>1</v>
      </c>
      <c r="L376" s="15">
        <v>2</v>
      </c>
      <c r="M376" s="15">
        <v>-1</v>
      </c>
      <c r="N376" s="17">
        <v>89.057510095960126</v>
      </c>
      <c r="O376" s="16">
        <v>333.49</v>
      </c>
      <c r="P376" s="16">
        <v>453.48</v>
      </c>
      <c r="Q376" s="18">
        <v>0</v>
      </c>
      <c r="R376" s="18">
        <v>773</v>
      </c>
      <c r="S376" s="16">
        <v>6.29</v>
      </c>
      <c r="T376" s="16">
        <v>0</v>
      </c>
      <c r="U376" s="16">
        <v>0</v>
      </c>
      <c r="V376" s="16">
        <v>0</v>
      </c>
      <c r="W376" s="18">
        <v>0</v>
      </c>
      <c r="X376" s="18">
        <v>4.13</v>
      </c>
      <c r="Y376" s="16">
        <v>0</v>
      </c>
      <c r="Z376" s="18">
        <v>0.19400000000000001</v>
      </c>
      <c r="AA376" s="18">
        <v>0.16600000000000001</v>
      </c>
      <c r="AB376" s="18">
        <v>5.4999999999999997E-3</v>
      </c>
      <c r="AC376" s="18">
        <v>7.7000000000000002E-3</v>
      </c>
      <c r="AD376" s="18">
        <v>4.4000000000000003E-3</v>
      </c>
    </row>
    <row r="377" spans="1:30" x14ac:dyDescent="0.3">
      <c r="A377" s="15" t="s">
        <v>330</v>
      </c>
      <c r="B377" s="15" t="s">
        <v>139</v>
      </c>
      <c r="C377" s="15" t="s">
        <v>9</v>
      </c>
      <c r="D377" s="15">
        <v>25</v>
      </c>
      <c r="E377" s="15">
        <v>76</v>
      </c>
      <c r="F377" s="15">
        <v>2</v>
      </c>
      <c r="G377" s="16">
        <v>945</v>
      </c>
      <c r="H377" s="16">
        <v>2</v>
      </c>
      <c r="I377" s="15" t="s">
        <v>21</v>
      </c>
      <c r="J377" s="16">
        <v>700</v>
      </c>
      <c r="K377" s="16">
        <v>2</v>
      </c>
      <c r="L377" s="15">
        <v>2</v>
      </c>
      <c r="M377" s="15">
        <v>-1</v>
      </c>
      <c r="N377" s="17">
        <v>191.76271463168436</v>
      </c>
      <c r="O377" s="16">
        <v>150</v>
      </c>
      <c r="P377" s="16">
        <v>460</v>
      </c>
      <c r="Q377" s="18">
        <v>0</v>
      </c>
      <c r="R377" s="18">
        <v>600</v>
      </c>
      <c r="S377" s="16">
        <v>5.8</v>
      </c>
      <c r="T377" s="16">
        <v>3.98</v>
      </c>
      <c r="U377" s="16">
        <v>3.74</v>
      </c>
      <c r="V377" s="16">
        <v>0.56999999999999995</v>
      </c>
      <c r="W377" s="18">
        <v>0.71</v>
      </c>
      <c r="X377" s="18">
        <v>0</v>
      </c>
      <c r="Y377" s="16">
        <v>0.28000000000000003</v>
      </c>
      <c r="Z377" s="18">
        <v>0</v>
      </c>
      <c r="AA377" s="18">
        <v>0.08</v>
      </c>
      <c r="AB377" s="18">
        <v>0.06</v>
      </c>
      <c r="AC377" s="18">
        <v>8.0000000000000002E-3</v>
      </c>
      <c r="AD377" s="18">
        <v>0</v>
      </c>
    </row>
    <row r="378" spans="1:30" x14ac:dyDescent="0.3">
      <c r="A378" s="15" t="s">
        <v>331</v>
      </c>
      <c r="B378" s="15" t="s">
        <v>139</v>
      </c>
      <c r="C378" s="15" t="s">
        <v>9</v>
      </c>
      <c r="D378" s="15">
        <v>25</v>
      </c>
      <c r="E378" s="15">
        <v>76</v>
      </c>
      <c r="F378" s="15">
        <v>2</v>
      </c>
      <c r="G378" s="16">
        <v>0</v>
      </c>
      <c r="H378" s="16">
        <v>0</v>
      </c>
      <c r="I378" s="15" t="s">
        <v>21</v>
      </c>
      <c r="J378" s="16">
        <v>1123</v>
      </c>
      <c r="K378" s="16">
        <v>6</v>
      </c>
      <c r="L378" s="15">
        <v>2</v>
      </c>
      <c r="M378" s="15">
        <v>-1</v>
      </c>
      <c r="N378" s="17">
        <v>87.807690439472196</v>
      </c>
      <c r="O378" s="16">
        <v>333.4</v>
      </c>
      <c r="P378" s="16">
        <v>493.3</v>
      </c>
      <c r="Q378" s="18">
        <v>0</v>
      </c>
      <c r="R378" s="18">
        <v>773</v>
      </c>
      <c r="S378" s="16">
        <v>6.29</v>
      </c>
      <c r="T378" s="16">
        <v>0</v>
      </c>
      <c r="U378" s="16">
        <v>0</v>
      </c>
      <c r="V378" s="16">
        <v>0</v>
      </c>
      <c r="W378" s="18">
        <v>0</v>
      </c>
      <c r="X378" s="18">
        <v>4.13</v>
      </c>
      <c r="Y378" s="16">
        <v>0</v>
      </c>
      <c r="Z378" s="18">
        <v>0.19400000000000001</v>
      </c>
      <c r="AA378" s="18">
        <v>0.16600000000000001</v>
      </c>
      <c r="AB378" s="18">
        <v>5.4999999999999997E-3</v>
      </c>
      <c r="AC378" s="18">
        <v>7.7000000000000002E-3</v>
      </c>
      <c r="AD378" s="18">
        <v>4.4000000000000003E-3</v>
      </c>
    </row>
    <row r="379" spans="1:30" x14ac:dyDescent="0.3">
      <c r="A379" s="15" t="s">
        <v>332</v>
      </c>
      <c r="B379" s="15" t="s">
        <v>139</v>
      </c>
      <c r="C379" s="15" t="s">
        <v>9</v>
      </c>
      <c r="D379" s="15">
        <v>25</v>
      </c>
      <c r="E379" s="15">
        <v>76</v>
      </c>
      <c r="F379" s="15">
        <v>2</v>
      </c>
      <c r="G379" s="16">
        <v>1050</v>
      </c>
      <c r="H379" s="16">
        <v>0.5</v>
      </c>
      <c r="I379" s="15" t="s">
        <v>21</v>
      </c>
      <c r="J379" s="16">
        <v>550</v>
      </c>
      <c r="K379" s="16">
        <v>24</v>
      </c>
      <c r="L379" s="15">
        <v>2</v>
      </c>
      <c r="M379" s="15">
        <v>-1</v>
      </c>
      <c r="N379" s="17">
        <v>142.7533791672729</v>
      </c>
      <c r="O379" s="16">
        <v>300</v>
      </c>
      <c r="P379" s="20">
        <v>510.07385734884798</v>
      </c>
      <c r="Q379" s="24">
        <v>1.4399999999999999E-7</v>
      </c>
      <c r="R379" s="18">
        <v>500</v>
      </c>
      <c r="S379" s="16">
        <v>6</v>
      </c>
      <c r="T379" s="16">
        <v>0</v>
      </c>
      <c r="U379" s="16">
        <v>5</v>
      </c>
      <c r="V379" s="16">
        <v>0</v>
      </c>
      <c r="W379" s="18">
        <v>0.5</v>
      </c>
      <c r="X379" s="18">
        <v>0</v>
      </c>
      <c r="Y379" s="16">
        <v>0.25</v>
      </c>
      <c r="Z379" s="18">
        <v>0</v>
      </c>
      <c r="AA379" s="18">
        <v>0</v>
      </c>
      <c r="AB379" s="18">
        <v>0</v>
      </c>
      <c r="AC379" s="18">
        <v>0</v>
      </c>
      <c r="AD379" s="18">
        <v>0</v>
      </c>
    </row>
    <row r="380" spans="1:30" x14ac:dyDescent="0.3">
      <c r="A380" s="15" t="s">
        <v>333</v>
      </c>
      <c r="B380" s="15" t="s">
        <v>139</v>
      </c>
      <c r="C380" s="15" t="s">
        <v>9</v>
      </c>
      <c r="D380" s="15">
        <v>25</v>
      </c>
      <c r="E380" s="15">
        <v>76</v>
      </c>
      <c r="F380" s="15">
        <v>2</v>
      </c>
      <c r="G380" s="16">
        <v>1050</v>
      </c>
      <c r="H380" s="16">
        <v>0.5</v>
      </c>
      <c r="I380" s="15" t="s">
        <v>21</v>
      </c>
      <c r="J380" s="16">
        <v>550</v>
      </c>
      <c r="K380" s="16">
        <v>24</v>
      </c>
      <c r="L380" s="15">
        <v>2</v>
      </c>
      <c r="M380" s="15">
        <v>-1</v>
      </c>
      <c r="N380" s="17">
        <v>142.7533791672729</v>
      </c>
      <c r="O380" s="16">
        <v>300</v>
      </c>
      <c r="P380" s="20">
        <v>511.88130847389402</v>
      </c>
      <c r="Q380" s="24">
        <v>9.2700000000000003E-8</v>
      </c>
      <c r="R380" s="18">
        <v>500</v>
      </c>
      <c r="S380" s="16">
        <v>6</v>
      </c>
      <c r="T380" s="16">
        <v>0</v>
      </c>
      <c r="U380" s="16">
        <v>5</v>
      </c>
      <c r="V380" s="16">
        <v>0</v>
      </c>
      <c r="W380" s="18">
        <v>0.5</v>
      </c>
      <c r="X380" s="18">
        <v>0</v>
      </c>
      <c r="Y380" s="16">
        <v>0.25</v>
      </c>
      <c r="Z380" s="18">
        <v>0</v>
      </c>
      <c r="AA380" s="18">
        <v>0</v>
      </c>
      <c r="AB380" s="18">
        <v>0</v>
      </c>
      <c r="AC380" s="18">
        <v>0</v>
      </c>
      <c r="AD380" s="18">
        <v>0</v>
      </c>
    </row>
    <row r="381" spans="1:30" x14ac:dyDescent="0.3">
      <c r="A381" s="15" t="s">
        <v>334</v>
      </c>
      <c r="B381" s="15" t="s">
        <v>139</v>
      </c>
      <c r="C381" s="15" t="s">
        <v>9</v>
      </c>
      <c r="D381" s="15">
        <v>25</v>
      </c>
      <c r="E381" s="15">
        <v>76</v>
      </c>
      <c r="F381" s="15">
        <v>2</v>
      </c>
      <c r="G381" s="16">
        <v>1055</v>
      </c>
      <c r="H381" s="16">
        <v>2</v>
      </c>
      <c r="I381" s="15" t="s">
        <v>21</v>
      </c>
      <c r="J381" s="16">
        <v>700</v>
      </c>
      <c r="K381" s="16">
        <v>2</v>
      </c>
      <c r="L381" s="15">
        <v>2</v>
      </c>
      <c r="M381" s="15">
        <v>-1</v>
      </c>
      <c r="N381" s="17">
        <v>191.76271463168436</v>
      </c>
      <c r="O381" s="16">
        <v>150</v>
      </c>
      <c r="P381" s="16">
        <v>526.9</v>
      </c>
      <c r="Q381" s="18">
        <v>0</v>
      </c>
      <c r="R381" s="18">
        <v>600</v>
      </c>
      <c r="S381" s="16">
        <v>5.78</v>
      </c>
      <c r="T381" s="16">
        <v>4.01</v>
      </c>
      <c r="U381" s="16">
        <v>3.71</v>
      </c>
      <c r="V381" s="16">
        <v>0.55000000000000004</v>
      </c>
      <c r="W381" s="18">
        <v>0.72</v>
      </c>
      <c r="X381" s="18">
        <v>0</v>
      </c>
      <c r="Y381" s="16">
        <v>0.3</v>
      </c>
      <c r="Z381" s="18">
        <v>0</v>
      </c>
      <c r="AA381" s="18">
        <v>0.09</v>
      </c>
      <c r="AB381" s="18">
        <v>0.06</v>
      </c>
      <c r="AC381" s="18">
        <v>7.0000000000000001E-3</v>
      </c>
      <c r="AD381" s="18">
        <v>0</v>
      </c>
    </row>
    <row r="382" spans="1:30" x14ac:dyDescent="0.3">
      <c r="A382" s="15" t="s">
        <v>335</v>
      </c>
      <c r="B382" s="15" t="s">
        <v>139</v>
      </c>
      <c r="C382" s="15" t="s">
        <v>9</v>
      </c>
      <c r="D382" s="15">
        <v>25</v>
      </c>
      <c r="E382" s="15">
        <v>76</v>
      </c>
      <c r="F382" s="15">
        <v>2</v>
      </c>
      <c r="G382" s="16">
        <v>940</v>
      </c>
      <c r="H382" s="16">
        <v>0.42</v>
      </c>
      <c r="I382" s="15" t="s">
        <v>21</v>
      </c>
      <c r="J382" s="16">
        <v>480</v>
      </c>
      <c r="K382" s="16">
        <v>24</v>
      </c>
      <c r="L382" s="15">
        <v>2</v>
      </c>
      <c r="M382" s="15">
        <v>-1</v>
      </c>
      <c r="N382" s="17">
        <v>130.85696349278345</v>
      </c>
      <c r="O382" s="16">
        <v>600</v>
      </c>
      <c r="P382" s="16">
        <v>548</v>
      </c>
      <c r="Q382" s="24">
        <v>1.5099999999999999E-7</v>
      </c>
      <c r="R382" s="18">
        <v>400</v>
      </c>
      <c r="S382" s="16">
        <v>6.33</v>
      </c>
      <c r="T382" s="16">
        <v>0</v>
      </c>
      <c r="U382" s="16">
        <v>0</v>
      </c>
      <c r="V382" s="16">
        <v>0</v>
      </c>
      <c r="W382" s="18">
        <v>0</v>
      </c>
      <c r="X382" s="18">
        <v>4</v>
      </c>
      <c r="Y382" s="16">
        <v>0</v>
      </c>
      <c r="Z382" s="18">
        <v>0.2</v>
      </c>
      <c r="AA382" s="18">
        <v>0.17</v>
      </c>
      <c r="AB382" s="18">
        <v>0.03</v>
      </c>
      <c r="AC382" s="18">
        <v>0.01</v>
      </c>
      <c r="AD382" s="18">
        <v>4.0000000000000001E-3</v>
      </c>
    </row>
    <row r="383" spans="1:30" x14ac:dyDescent="0.3">
      <c r="A383" s="15" t="s">
        <v>336</v>
      </c>
      <c r="B383" s="15" t="s">
        <v>139</v>
      </c>
      <c r="C383" s="15" t="s">
        <v>9</v>
      </c>
      <c r="D383" s="15">
        <v>25</v>
      </c>
      <c r="E383" s="15">
        <v>76</v>
      </c>
      <c r="F383" s="15">
        <v>2</v>
      </c>
      <c r="G383" s="16">
        <v>0</v>
      </c>
      <c r="H383" s="16">
        <v>0</v>
      </c>
      <c r="I383" s="15" t="s">
        <v>21</v>
      </c>
      <c r="J383" s="16">
        <v>993</v>
      </c>
      <c r="K383" s="16">
        <v>2</v>
      </c>
      <c r="L383" s="15">
        <v>2</v>
      </c>
      <c r="M383" s="15">
        <v>-1</v>
      </c>
      <c r="N383" s="17">
        <v>87.807690439472196</v>
      </c>
      <c r="O383" s="16">
        <v>312.57</v>
      </c>
      <c r="P383" s="16">
        <v>549.80999999999995</v>
      </c>
      <c r="Q383" s="18">
        <v>0</v>
      </c>
      <c r="R383" s="18">
        <v>773</v>
      </c>
      <c r="S383" s="16">
        <v>6.29</v>
      </c>
      <c r="T383" s="16">
        <v>0</v>
      </c>
      <c r="U383" s="16">
        <v>0</v>
      </c>
      <c r="V383" s="16">
        <v>0</v>
      </c>
      <c r="W383" s="18">
        <v>0</v>
      </c>
      <c r="X383" s="18">
        <v>4.13</v>
      </c>
      <c r="Y383" s="16">
        <v>0</v>
      </c>
      <c r="Z383" s="18">
        <v>0.19400000000000001</v>
      </c>
      <c r="AA383" s="18">
        <v>0.16600000000000001</v>
      </c>
      <c r="AB383" s="18">
        <v>5.4999999999999997E-3</v>
      </c>
      <c r="AC383" s="18">
        <v>7.7000000000000002E-3</v>
      </c>
      <c r="AD383" s="18">
        <v>4.4000000000000003E-3</v>
      </c>
    </row>
    <row r="384" spans="1:30" x14ac:dyDescent="0.3">
      <c r="A384" s="15" t="s">
        <v>337</v>
      </c>
      <c r="B384" s="15" t="s">
        <v>139</v>
      </c>
      <c r="C384" s="15" t="s">
        <v>9</v>
      </c>
      <c r="D384" s="15">
        <v>25</v>
      </c>
      <c r="E384" s="15">
        <v>76</v>
      </c>
      <c r="F384" s="15">
        <v>2</v>
      </c>
      <c r="G384" s="16">
        <v>1050</v>
      </c>
      <c r="H384" s="16">
        <v>0.5</v>
      </c>
      <c r="I384" s="15" t="s">
        <v>21</v>
      </c>
      <c r="J384" s="16">
        <v>950</v>
      </c>
      <c r="K384" s="16">
        <v>1</v>
      </c>
      <c r="L384" s="15">
        <v>2</v>
      </c>
      <c r="M384" s="15">
        <v>-1</v>
      </c>
      <c r="N384" s="17">
        <v>115.97769428737872</v>
      </c>
      <c r="O384" s="16">
        <v>97</v>
      </c>
      <c r="P384" s="16">
        <v>560</v>
      </c>
      <c r="Q384" s="24">
        <v>2.4500000000000001E-8</v>
      </c>
      <c r="R384" s="18">
        <v>600</v>
      </c>
      <c r="S384" s="16">
        <v>6.61</v>
      </c>
      <c r="T384" s="16">
        <v>0</v>
      </c>
      <c r="U384" s="16">
        <v>0</v>
      </c>
      <c r="V384" s="16">
        <v>0</v>
      </c>
      <c r="W384" s="18">
        <v>0</v>
      </c>
      <c r="X384" s="18">
        <v>4.2300000000000004</v>
      </c>
      <c r="Y384" s="16">
        <v>0</v>
      </c>
      <c r="Z384" s="18">
        <v>1.18</v>
      </c>
      <c r="AA384" s="18">
        <v>0.13</v>
      </c>
      <c r="AB384" s="18">
        <v>2.5999999999999999E-2</v>
      </c>
      <c r="AC384" s="18">
        <v>1.0999999999999999E-2</v>
      </c>
      <c r="AD384" s="18">
        <v>3.0000000000000001E-3</v>
      </c>
    </row>
    <row r="385" spans="1:30" x14ac:dyDescent="0.3">
      <c r="A385" s="15" t="s">
        <v>338</v>
      </c>
      <c r="B385" s="15" t="s">
        <v>139</v>
      </c>
      <c r="C385" s="15" t="s">
        <v>9</v>
      </c>
      <c r="D385" s="15">
        <v>25</v>
      </c>
      <c r="E385" s="15">
        <v>76</v>
      </c>
      <c r="F385" s="15">
        <v>2</v>
      </c>
      <c r="G385" s="16">
        <v>1050</v>
      </c>
      <c r="H385" s="16">
        <v>0.5</v>
      </c>
      <c r="I385" s="15" t="s">
        <v>21</v>
      </c>
      <c r="J385" s="16">
        <v>550</v>
      </c>
      <c r="K385" s="16">
        <v>24</v>
      </c>
      <c r="L385" s="15">
        <v>2</v>
      </c>
      <c r="M385" s="15">
        <v>-1</v>
      </c>
      <c r="N385" s="17">
        <v>142.7533791672729</v>
      </c>
      <c r="O385" s="16">
        <v>300</v>
      </c>
      <c r="P385" s="20">
        <v>628.41495925689901</v>
      </c>
      <c r="Q385" s="24">
        <v>8.3599999999999994E-8</v>
      </c>
      <c r="R385" s="18">
        <v>500</v>
      </c>
      <c r="S385" s="16">
        <v>6</v>
      </c>
      <c r="T385" s="16">
        <v>0</v>
      </c>
      <c r="U385" s="16">
        <v>5</v>
      </c>
      <c r="V385" s="16">
        <v>0</v>
      </c>
      <c r="W385" s="18">
        <v>0.5</v>
      </c>
      <c r="X385" s="18">
        <v>0</v>
      </c>
      <c r="Y385" s="16">
        <v>0.25</v>
      </c>
      <c r="Z385" s="18">
        <v>0</v>
      </c>
      <c r="AA385" s="18">
        <v>0</v>
      </c>
      <c r="AB385" s="18">
        <v>0</v>
      </c>
      <c r="AC385" s="18">
        <v>0</v>
      </c>
      <c r="AD385" s="18">
        <v>0</v>
      </c>
    </row>
    <row r="386" spans="1:30" x14ac:dyDescent="0.3">
      <c r="A386" s="15" t="s">
        <v>339</v>
      </c>
      <c r="B386" s="15" t="s">
        <v>139</v>
      </c>
      <c r="C386" s="15" t="s">
        <v>9</v>
      </c>
      <c r="D386" s="15">
        <v>25</v>
      </c>
      <c r="E386" s="15">
        <v>76</v>
      </c>
      <c r="F386" s="15">
        <v>2</v>
      </c>
      <c r="G386" s="16">
        <v>0</v>
      </c>
      <c r="H386" s="16">
        <v>0</v>
      </c>
      <c r="I386" s="15" t="s">
        <v>21</v>
      </c>
      <c r="J386" s="16">
        <v>1373</v>
      </c>
      <c r="K386" s="16">
        <v>1</v>
      </c>
      <c r="L386" s="15">
        <v>2</v>
      </c>
      <c r="M386" s="15">
        <v>-1</v>
      </c>
      <c r="N386" s="17">
        <v>89.057510095960126</v>
      </c>
      <c r="O386" s="16">
        <v>311.75</v>
      </c>
      <c r="P386" s="16">
        <v>674.96</v>
      </c>
      <c r="Q386" s="18">
        <v>0</v>
      </c>
      <c r="R386" s="18">
        <v>773</v>
      </c>
      <c r="S386" s="16">
        <v>6.29</v>
      </c>
      <c r="T386" s="16">
        <v>0</v>
      </c>
      <c r="U386" s="16">
        <v>0</v>
      </c>
      <c r="V386" s="16">
        <v>0</v>
      </c>
      <c r="W386" s="18">
        <v>0</v>
      </c>
      <c r="X386" s="18">
        <v>4.13</v>
      </c>
      <c r="Y386" s="16">
        <v>0</v>
      </c>
      <c r="Z386" s="18">
        <v>0.19400000000000001</v>
      </c>
      <c r="AA386" s="18">
        <v>0.16600000000000001</v>
      </c>
      <c r="AB386" s="18">
        <v>5.4999999999999997E-3</v>
      </c>
      <c r="AC386" s="18">
        <v>7.7000000000000002E-3</v>
      </c>
      <c r="AD386" s="18">
        <v>4.4000000000000003E-3</v>
      </c>
    </row>
    <row r="387" spans="1:30" x14ac:dyDescent="0.3">
      <c r="A387" s="15" t="s">
        <v>340</v>
      </c>
      <c r="B387" s="15" t="s">
        <v>139</v>
      </c>
      <c r="C387" s="15" t="s">
        <v>9</v>
      </c>
      <c r="D387" s="15">
        <v>25</v>
      </c>
      <c r="E387" s="15">
        <v>76</v>
      </c>
      <c r="F387" s="15">
        <v>2</v>
      </c>
      <c r="G387" s="16">
        <v>0</v>
      </c>
      <c r="H387" s="16">
        <v>0</v>
      </c>
      <c r="I387" s="15" t="s">
        <v>21</v>
      </c>
      <c r="J387" s="16">
        <v>1123</v>
      </c>
      <c r="K387" s="16">
        <v>6</v>
      </c>
      <c r="L387" s="15">
        <v>2</v>
      </c>
      <c r="M387" s="15">
        <v>-1</v>
      </c>
      <c r="N387" s="17">
        <v>87.807690439472196</v>
      </c>
      <c r="O387" s="16">
        <v>312.81</v>
      </c>
      <c r="P387" s="16">
        <v>690.16</v>
      </c>
      <c r="Q387" s="18">
        <v>0</v>
      </c>
      <c r="R387" s="18">
        <v>773</v>
      </c>
      <c r="S387" s="16">
        <v>6.29</v>
      </c>
      <c r="T387" s="16">
        <v>0</v>
      </c>
      <c r="U387" s="16">
        <v>0</v>
      </c>
      <c r="V387" s="16">
        <v>0</v>
      </c>
      <c r="W387" s="18">
        <v>0</v>
      </c>
      <c r="X387" s="18">
        <v>4.13</v>
      </c>
      <c r="Y387" s="16">
        <v>0</v>
      </c>
      <c r="Z387" s="18">
        <v>0.19400000000000001</v>
      </c>
      <c r="AA387" s="18">
        <v>0.16600000000000001</v>
      </c>
      <c r="AB387" s="18">
        <v>5.4999999999999997E-3</v>
      </c>
      <c r="AC387" s="18">
        <v>7.7000000000000002E-3</v>
      </c>
      <c r="AD387" s="18">
        <v>4.4000000000000003E-3</v>
      </c>
    </row>
    <row r="388" spans="1:30" x14ac:dyDescent="0.3">
      <c r="A388" s="15" t="s">
        <v>341</v>
      </c>
      <c r="B388" s="15" t="s">
        <v>139</v>
      </c>
      <c r="C388" s="15" t="s">
        <v>9</v>
      </c>
      <c r="D388" s="15">
        <v>25</v>
      </c>
      <c r="E388" s="15">
        <v>76</v>
      </c>
      <c r="F388" s="15">
        <v>2</v>
      </c>
      <c r="G388" s="16">
        <v>1055</v>
      </c>
      <c r="H388" s="16">
        <v>2</v>
      </c>
      <c r="I388" s="15" t="s">
        <v>21</v>
      </c>
      <c r="J388" s="16">
        <v>700</v>
      </c>
      <c r="K388" s="16">
        <v>2</v>
      </c>
      <c r="L388" s="15">
        <v>2</v>
      </c>
      <c r="M388" s="15">
        <v>-1</v>
      </c>
      <c r="N388" s="17">
        <v>191.76271463168436</v>
      </c>
      <c r="O388" s="16">
        <v>150</v>
      </c>
      <c r="P388" s="16">
        <v>705.53</v>
      </c>
      <c r="Q388" s="18">
        <v>0</v>
      </c>
      <c r="R388" s="18">
        <v>600</v>
      </c>
      <c r="S388" s="16">
        <v>5.8</v>
      </c>
      <c r="T388" s="16">
        <v>3.98</v>
      </c>
      <c r="U388" s="16">
        <v>3.74</v>
      </c>
      <c r="V388" s="16">
        <v>0.56999999999999995</v>
      </c>
      <c r="W388" s="18">
        <v>0.71</v>
      </c>
      <c r="X388" s="18">
        <v>0</v>
      </c>
      <c r="Y388" s="16">
        <v>0.28000000000000003</v>
      </c>
      <c r="Z388" s="18">
        <v>0</v>
      </c>
      <c r="AA388" s="18">
        <v>0.08</v>
      </c>
      <c r="AB388" s="18">
        <v>0.06</v>
      </c>
      <c r="AC388" s="18">
        <v>8.0000000000000002E-3</v>
      </c>
      <c r="AD388" s="18">
        <v>0</v>
      </c>
    </row>
    <row r="389" spans="1:30" x14ac:dyDescent="0.3">
      <c r="A389" s="15" t="s">
        <v>342</v>
      </c>
      <c r="B389" s="15" t="s">
        <v>139</v>
      </c>
      <c r="C389" s="15" t="s">
        <v>9</v>
      </c>
      <c r="D389" s="15">
        <v>25</v>
      </c>
      <c r="E389" s="15">
        <v>76</v>
      </c>
      <c r="F389" s="15">
        <v>2</v>
      </c>
      <c r="G389" s="16">
        <v>0</v>
      </c>
      <c r="H389" s="16">
        <v>0</v>
      </c>
      <c r="I389" s="15" t="s">
        <v>21</v>
      </c>
      <c r="J389" s="16">
        <v>720</v>
      </c>
      <c r="K389" s="16">
        <v>0</v>
      </c>
      <c r="L389" s="15">
        <v>2</v>
      </c>
      <c r="M389" s="15">
        <v>-1</v>
      </c>
      <c r="N389" s="17">
        <v>93.864986339386263</v>
      </c>
      <c r="O389" s="16">
        <v>345</v>
      </c>
      <c r="P389" s="16">
        <v>714</v>
      </c>
      <c r="Q389" s="24">
        <v>4.7199999999999997E-6</v>
      </c>
      <c r="R389" s="18">
        <v>455</v>
      </c>
      <c r="S389" s="16">
        <v>6.51</v>
      </c>
      <c r="T389" s="16">
        <v>0</v>
      </c>
      <c r="U389" s="16">
        <v>0</v>
      </c>
      <c r="V389" s="16">
        <v>0</v>
      </c>
      <c r="W389" s="18">
        <v>0</v>
      </c>
      <c r="X389" s="18">
        <v>4.08</v>
      </c>
      <c r="Y389" s="16">
        <v>0</v>
      </c>
      <c r="Z389" s="18">
        <v>0.16</v>
      </c>
      <c r="AA389" s="18">
        <v>0.19</v>
      </c>
      <c r="AB389" s="18">
        <v>0.01</v>
      </c>
      <c r="AC389" s="18">
        <v>5.0000000000000001E-3</v>
      </c>
      <c r="AD389" s="18">
        <v>1.6000000000000001E-3</v>
      </c>
    </row>
    <row r="390" spans="1:30" x14ac:dyDescent="0.3">
      <c r="A390" s="15" t="s">
        <v>343</v>
      </c>
      <c r="B390" s="15" t="s">
        <v>139</v>
      </c>
      <c r="C390" s="15" t="s">
        <v>9</v>
      </c>
      <c r="D390" s="15">
        <v>25</v>
      </c>
      <c r="E390" s="15">
        <v>76</v>
      </c>
      <c r="F390" s="15">
        <v>2</v>
      </c>
      <c r="G390" s="16">
        <v>0</v>
      </c>
      <c r="H390" s="16">
        <v>0</v>
      </c>
      <c r="I390" s="15" t="s">
        <v>21</v>
      </c>
      <c r="J390" s="16">
        <v>900</v>
      </c>
      <c r="K390" s="16">
        <v>2</v>
      </c>
      <c r="L390" s="15">
        <v>2</v>
      </c>
      <c r="M390" s="15">
        <v>-1</v>
      </c>
      <c r="N390" s="17">
        <v>87.807690439472196</v>
      </c>
      <c r="O390" s="16">
        <v>300</v>
      </c>
      <c r="P390" s="16">
        <v>750</v>
      </c>
      <c r="Q390" s="24">
        <v>2.55E-8</v>
      </c>
      <c r="R390" s="18">
        <v>475</v>
      </c>
      <c r="S390" s="16">
        <v>6</v>
      </c>
      <c r="T390" s="16">
        <v>0</v>
      </c>
      <c r="U390" s="16">
        <v>0</v>
      </c>
      <c r="V390" s="16">
        <v>0</v>
      </c>
      <c r="W390" s="18">
        <v>0</v>
      </c>
      <c r="X390" s="18">
        <v>4</v>
      </c>
      <c r="Y390" s="16">
        <v>0</v>
      </c>
      <c r="Z390" s="18">
        <v>0.25</v>
      </c>
      <c r="AA390" s="18">
        <v>0.2</v>
      </c>
      <c r="AB390" s="18">
        <v>0.08</v>
      </c>
      <c r="AC390" s="18">
        <v>0.05</v>
      </c>
      <c r="AD390" s="18">
        <v>0.01</v>
      </c>
    </row>
    <row r="391" spans="1:30" x14ac:dyDescent="0.3">
      <c r="A391" s="15" t="s">
        <v>344</v>
      </c>
      <c r="B391" s="15" t="s">
        <v>139</v>
      </c>
      <c r="C391" s="15" t="s">
        <v>9</v>
      </c>
      <c r="D391" s="15">
        <v>25</v>
      </c>
      <c r="E391" s="15">
        <v>76</v>
      </c>
      <c r="F391" s="15">
        <v>2</v>
      </c>
      <c r="G391" s="16">
        <v>1050</v>
      </c>
      <c r="H391" s="16">
        <v>1</v>
      </c>
      <c r="I391" s="15" t="s">
        <v>21</v>
      </c>
      <c r="J391" s="16">
        <v>550</v>
      </c>
      <c r="K391" s="16">
        <v>24</v>
      </c>
      <c r="L391" s="15">
        <v>2</v>
      </c>
      <c r="M391" s="15">
        <v>-1</v>
      </c>
      <c r="N391" s="17">
        <v>146.47733117024916</v>
      </c>
      <c r="O391" s="16">
        <v>310</v>
      </c>
      <c r="P391" s="16">
        <v>750</v>
      </c>
      <c r="Q391" s="24">
        <v>1.0000000000000001E-5</v>
      </c>
      <c r="R391" s="18">
        <v>520</v>
      </c>
      <c r="S391" s="16">
        <v>6.2</v>
      </c>
      <c r="T391" s="16">
        <v>1.95</v>
      </c>
      <c r="U391" s="16">
        <v>3.8</v>
      </c>
      <c r="V391" s="16">
        <v>0</v>
      </c>
      <c r="W391" s="18">
        <v>2</v>
      </c>
      <c r="X391" s="18">
        <v>0</v>
      </c>
      <c r="Y391" s="16">
        <v>0</v>
      </c>
      <c r="Z391" s="18">
        <v>0</v>
      </c>
      <c r="AA391" s="18">
        <v>0.03</v>
      </c>
      <c r="AB391" s="18">
        <v>2.1000000000000001E-2</v>
      </c>
      <c r="AC391" s="18">
        <v>4.0000000000000001E-3</v>
      </c>
      <c r="AD391" s="18">
        <v>8.0000000000000002E-3</v>
      </c>
    </row>
    <row r="392" spans="1:30" x14ac:dyDescent="0.3">
      <c r="A392" s="15" t="s">
        <v>345</v>
      </c>
      <c r="B392" s="15" t="s">
        <v>139</v>
      </c>
      <c r="C392" s="15" t="s">
        <v>9</v>
      </c>
      <c r="D392" s="15">
        <v>25</v>
      </c>
      <c r="E392" s="15">
        <v>76</v>
      </c>
      <c r="F392" s="15">
        <v>2</v>
      </c>
      <c r="G392" s="16">
        <v>900</v>
      </c>
      <c r="H392" s="16">
        <v>1</v>
      </c>
      <c r="I392" s="15" t="s">
        <v>21</v>
      </c>
      <c r="J392" s="16">
        <v>580</v>
      </c>
      <c r="K392" s="16">
        <v>8</v>
      </c>
      <c r="L392" s="15">
        <v>2</v>
      </c>
      <c r="M392" s="15">
        <v>-1</v>
      </c>
      <c r="N392" s="17">
        <v>146.47733117024916</v>
      </c>
      <c r="O392" s="16">
        <v>310</v>
      </c>
      <c r="P392" s="20">
        <v>1160</v>
      </c>
      <c r="Q392" s="24">
        <v>1.2E-4</v>
      </c>
      <c r="R392" s="18">
        <v>520</v>
      </c>
      <c r="S392" s="16">
        <v>6.2</v>
      </c>
      <c r="T392" s="16">
        <v>1.95</v>
      </c>
      <c r="U392" s="16">
        <v>3.8</v>
      </c>
      <c r="V392" s="16">
        <v>0</v>
      </c>
      <c r="W392" s="18">
        <v>2</v>
      </c>
      <c r="X392" s="18">
        <v>0</v>
      </c>
      <c r="Y392" s="16">
        <v>0</v>
      </c>
      <c r="Z392" s="18">
        <v>0</v>
      </c>
      <c r="AA392" s="18">
        <v>0.03</v>
      </c>
      <c r="AB392" s="18">
        <v>2.1000000000000001E-2</v>
      </c>
      <c r="AC392" s="18">
        <v>4.0000000000000001E-3</v>
      </c>
      <c r="AD392" s="18">
        <v>8.0000000000000002E-3</v>
      </c>
    </row>
    <row r="393" spans="1:30" x14ac:dyDescent="0.3">
      <c r="A393" s="15" t="s">
        <v>346</v>
      </c>
      <c r="B393" s="15" t="s">
        <v>139</v>
      </c>
      <c r="C393" s="15" t="s">
        <v>9</v>
      </c>
      <c r="D393" s="15">
        <v>25</v>
      </c>
      <c r="E393" s="15">
        <v>76</v>
      </c>
      <c r="F393" s="15">
        <v>2</v>
      </c>
      <c r="G393" s="16">
        <v>0</v>
      </c>
      <c r="H393" s="16">
        <v>0</v>
      </c>
      <c r="I393" s="15" t="s">
        <v>21</v>
      </c>
      <c r="J393" s="16">
        <v>940</v>
      </c>
      <c r="K393" s="16">
        <v>4</v>
      </c>
      <c r="L393" s="15">
        <v>2</v>
      </c>
      <c r="M393" s="15">
        <v>-1</v>
      </c>
      <c r="N393" s="17">
        <v>87.807690439472196</v>
      </c>
      <c r="O393" s="16">
        <v>379</v>
      </c>
      <c r="P393" s="16">
        <v>1619</v>
      </c>
      <c r="Q393" s="24">
        <v>9.16E-7</v>
      </c>
      <c r="R393" s="18">
        <v>455</v>
      </c>
      <c r="S393" s="16">
        <v>6.51</v>
      </c>
      <c r="T393" s="16">
        <v>0</v>
      </c>
      <c r="U393" s="16">
        <v>0</v>
      </c>
      <c r="V393" s="16">
        <v>0</v>
      </c>
      <c r="W393" s="18">
        <v>0</v>
      </c>
      <c r="X393" s="18">
        <v>4.08</v>
      </c>
      <c r="Y393" s="16">
        <v>0</v>
      </c>
      <c r="Z393" s="18">
        <v>0.16</v>
      </c>
      <c r="AA393" s="18">
        <v>0.19</v>
      </c>
      <c r="AB393" s="18">
        <v>0.01</v>
      </c>
      <c r="AC393" s="18">
        <v>5.0000000000000001E-3</v>
      </c>
      <c r="AD393" s="18">
        <v>1.6000000000000001E-3</v>
      </c>
    </row>
    <row r="394" spans="1:30" x14ac:dyDescent="0.3">
      <c r="A394" s="15" t="s">
        <v>347</v>
      </c>
      <c r="B394" s="15" t="s">
        <v>139</v>
      </c>
      <c r="C394" s="15" t="s">
        <v>9</v>
      </c>
      <c r="D394" s="15">
        <v>25</v>
      </c>
      <c r="E394" s="15">
        <v>76</v>
      </c>
      <c r="F394" s="15">
        <v>2</v>
      </c>
      <c r="G394" s="16">
        <v>0</v>
      </c>
      <c r="H394" s="16">
        <v>0</v>
      </c>
      <c r="I394" s="15" t="s">
        <v>21</v>
      </c>
      <c r="J394" s="16">
        <v>1030</v>
      </c>
      <c r="K394" s="16">
        <v>0.5</v>
      </c>
      <c r="L394" s="15">
        <v>2</v>
      </c>
      <c r="M394" s="15">
        <v>-1</v>
      </c>
      <c r="N394" s="17">
        <v>89.057510095960126</v>
      </c>
      <c r="O394" s="16">
        <v>379</v>
      </c>
      <c r="P394" s="16">
        <v>1744</v>
      </c>
      <c r="Q394" s="24">
        <v>1.2699999999999999E-6</v>
      </c>
      <c r="R394" s="18">
        <v>455</v>
      </c>
      <c r="S394" s="16">
        <v>6.51</v>
      </c>
      <c r="T394" s="16">
        <v>0</v>
      </c>
      <c r="U394" s="16">
        <v>0</v>
      </c>
      <c r="V394" s="16">
        <v>0</v>
      </c>
      <c r="W394" s="18">
        <v>0</v>
      </c>
      <c r="X394" s="18">
        <v>4.08</v>
      </c>
      <c r="Y394" s="16">
        <v>0</v>
      </c>
      <c r="Z394" s="18">
        <v>0.16</v>
      </c>
      <c r="AA394" s="18">
        <v>0.19</v>
      </c>
      <c r="AB394" s="18">
        <v>0.01</v>
      </c>
      <c r="AC394" s="18">
        <v>5.0000000000000001E-3</v>
      </c>
      <c r="AD394" s="18">
        <v>1.6000000000000001E-3</v>
      </c>
    </row>
    <row r="395" spans="1:30" x14ac:dyDescent="0.3">
      <c r="A395" s="15" t="s">
        <v>348</v>
      </c>
      <c r="B395" s="15" t="s">
        <v>139</v>
      </c>
      <c r="C395" s="15" t="s">
        <v>9</v>
      </c>
      <c r="D395" s="15">
        <v>25</v>
      </c>
      <c r="E395" s="15">
        <v>76</v>
      </c>
      <c r="F395" s="15">
        <v>2</v>
      </c>
      <c r="G395" s="16">
        <v>0</v>
      </c>
      <c r="H395" s="16">
        <v>0</v>
      </c>
      <c r="I395" s="15" t="s">
        <v>21</v>
      </c>
      <c r="J395" s="16">
        <v>0</v>
      </c>
      <c r="K395" s="16">
        <v>0</v>
      </c>
      <c r="L395" s="15">
        <v>2</v>
      </c>
      <c r="M395" s="15">
        <v>-1</v>
      </c>
      <c r="N395" s="17">
        <v>48.904755675984347</v>
      </c>
      <c r="O395" s="16">
        <v>103</v>
      </c>
      <c r="P395" s="16">
        <v>4681</v>
      </c>
      <c r="Q395" s="24">
        <v>8.9999999999999996E-7</v>
      </c>
      <c r="R395" s="18">
        <v>538</v>
      </c>
      <c r="S395" s="16">
        <v>6</v>
      </c>
      <c r="T395" s="16">
        <v>0</v>
      </c>
      <c r="U395" s="16">
        <v>0</v>
      </c>
      <c r="V395" s="16">
        <v>0</v>
      </c>
      <c r="W395" s="18">
        <v>0</v>
      </c>
      <c r="X395" s="18">
        <v>4</v>
      </c>
      <c r="Y395" s="16">
        <v>0</v>
      </c>
      <c r="Z395" s="18">
        <v>0.25</v>
      </c>
      <c r="AA395" s="18">
        <v>0.2</v>
      </c>
      <c r="AB395" s="18">
        <v>0.08</v>
      </c>
      <c r="AC395" s="18">
        <v>0.05</v>
      </c>
      <c r="AD395" s="18">
        <v>0.01</v>
      </c>
    </row>
    <row r="396" spans="1:30" x14ac:dyDescent="0.3">
      <c r="A396" s="15" t="s">
        <v>349</v>
      </c>
      <c r="B396" s="15" t="s">
        <v>139</v>
      </c>
      <c r="C396" s="15" t="s">
        <v>9</v>
      </c>
      <c r="D396" s="15">
        <v>25</v>
      </c>
      <c r="E396" s="15">
        <v>76</v>
      </c>
      <c r="F396" s="15">
        <v>2</v>
      </c>
      <c r="G396" s="16">
        <v>0</v>
      </c>
      <c r="H396" s="16">
        <v>0</v>
      </c>
      <c r="I396" s="15" t="s">
        <v>21</v>
      </c>
      <c r="J396" s="16">
        <v>900</v>
      </c>
      <c r="K396" s="16">
        <v>2</v>
      </c>
      <c r="L396" s="15">
        <v>2</v>
      </c>
      <c r="M396" s="15">
        <v>-1</v>
      </c>
      <c r="N396" s="17">
        <v>87.807690439472196</v>
      </c>
      <c r="O396" s="16">
        <v>300</v>
      </c>
      <c r="P396" s="16">
        <v>4722.22</v>
      </c>
      <c r="Q396" s="24">
        <v>4.4400000000000004E-9</v>
      </c>
      <c r="R396" s="18">
        <v>475</v>
      </c>
      <c r="S396" s="16">
        <v>6</v>
      </c>
      <c r="T396" s="16">
        <v>0</v>
      </c>
      <c r="U396" s="16">
        <v>0</v>
      </c>
      <c r="V396" s="16">
        <v>0</v>
      </c>
      <c r="W396" s="18">
        <v>0</v>
      </c>
      <c r="X396" s="18">
        <v>4</v>
      </c>
      <c r="Y396" s="16">
        <v>0</v>
      </c>
      <c r="Z396" s="18">
        <v>0.25</v>
      </c>
      <c r="AA396" s="18">
        <v>0.2</v>
      </c>
      <c r="AB396" s="18">
        <v>0.08</v>
      </c>
      <c r="AC396" s="18">
        <v>0.05</v>
      </c>
      <c r="AD396" s="18">
        <v>0.01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698E1-3B42-4A47-9A56-DDC7438AB297}">
  <dimension ref="A1:AC396"/>
  <sheetViews>
    <sheetView workbookViewId="0">
      <selection activeCell="N1" sqref="N1:N1048576"/>
    </sheetView>
  </sheetViews>
  <sheetFormatPr defaultRowHeight="14.4" x14ac:dyDescent="0.3"/>
  <cols>
    <col min="15" max="15" width="17.77734375" customWidth="1"/>
  </cols>
  <sheetData>
    <row r="1" spans="1:29" s="28" customFormat="1" x14ac:dyDescent="0.3">
      <c r="A1" s="28" t="s">
        <v>0</v>
      </c>
      <c r="B1" s="28" t="s">
        <v>141</v>
      </c>
      <c r="C1" s="28" t="s">
        <v>142</v>
      </c>
      <c r="D1" s="28" t="s">
        <v>158</v>
      </c>
      <c r="E1" s="28" t="s">
        <v>150</v>
      </c>
      <c r="F1" s="28" t="s">
        <v>144</v>
      </c>
      <c r="G1" s="28" t="s">
        <v>159</v>
      </c>
      <c r="H1" s="28" t="s">
        <v>147</v>
      </c>
      <c r="I1" s="28" t="s">
        <v>20</v>
      </c>
      <c r="J1" s="28" t="s">
        <v>160</v>
      </c>
      <c r="K1" s="28" t="s">
        <v>149</v>
      </c>
      <c r="L1" s="28" t="s">
        <v>1</v>
      </c>
      <c r="M1" s="28" t="s">
        <v>151</v>
      </c>
      <c r="N1" s="28" t="s">
        <v>350</v>
      </c>
      <c r="O1" s="28" t="s">
        <v>351</v>
      </c>
      <c r="P1" s="28" t="s">
        <v>352</v>
      </c>
      <c r="Q1" s="28" t="s">
        <v>353</v>
      </c>
      <c r="R1" s="28" t="s">
        <v>161</v>
      </c>
      <c r="S1" s="28" t="s">
        <v>162</v>
      </c>
      <c r="T1" s="28" t="s">
        <v>163</v>
      </c>
      <c r="U1" s="28" t="s">
        <v>164</v>
      </c>
      <c r="V1" s="28" t="s">
        <v>165</v>
      </c>
      <c r="W1" s="28" t="s">
        <v>166</v>
      </c>
      <c r="X1" s="28" t="s">
        <v>167</v>
      </c>
      <c r="Y1" s="28" t="s">
        <v>168</v>
      </c>
      <c r="Z1" s="28" t="s">
        <v>169</v>
      </c>
      <c r="AA1" s="28" t="s">
        <v>170</v>
      </c>
      <c r="AB1" s="28" t="s">
        <v>171</v>
      </c>
      <c r="AC1" s="28" t="s">
        <v>172</v>
      </c>
    </row>
    <row r="2" spans="1:29" x14ac:dyDescent="0.3">
      <c r="A2" t="s">
        <v>31</v>
      </c>
      <c r="B2" t="s">
        <v>14</v>
      </c>
      <c r="C2" t="s">
        <v>13</v>
      </c>
      <c r="D2">
        <v>1030</v>
      </c>
      <c r="E2">
        <v>100</v>
      </c>
      <c r="F2">
        <v>1</v>
      </c>
      <c r="G2">
        <v>25</v>
      </c>
      <c r="H2">
        <v>2</v>
      </c>
      <c r="I2" t="s">
        <v>21</v>
      </c>
      <c r="J2">
        <v>25</v>
      </c>
      <c r="K2">
        <v>2</v>
      </c>
      <c r="L2">
        <v>6</v>
      </c>
      <c r="M2">
        <v>0.1</v>
      </c>
      <c r="N2">
        <v>480</v>
      </c>
      <c r="O2">
        <v>0.95917011249040085</v>
      </c>
      <c r="P2">
        <v>6.9880469874522094E-7</v>
      </c>
      <c r="Q2">
        <v>25</v>
      </c>
      <c r="R2">
        <v>5.5</v>
      </c>
      <c r="S2">
        <v>1.8</v>
      </c>
      <c r="T2">
        <v>1.5</v>
      </c>
      <c r="U2">
        <v>0</v>
      </c>
      <c r="V2">
        <v>0.5</v>
      </c>
      <c r="W2">
        <v>0</v>
      </c>
      <c r="X2">
        <v>0</v>
      </c>
      <c r="Y2">
        <v>0</v>
      </c>
      <c r="Z2">
        <v>0.2</v>
      </c>
      <c r="AA2">
        <v>0.05</v>
      </c>
      <c r="AB2">
        <v>0</v>
      </c>
      <c r="AC2">
        <v>1.4999999999999999E-2</v>
      </c>
    </row>
    <row r="3" spans="1:29" x14ac:dyDescent="0.3">
      <c r="A3" t="s">
        <v>2</v>
      </c>
      <c r="B3" t="s">
        <v>3</v>
      </c>
      <c r="C3" t="s">
        <v>4</v>
      </c>
      <c r="D3">
        <v>25</v>
      </c>
      <c r="E3">
        <v>76</v>
      </c>
      <c r="F3">
        <v>2</v>
      </c>
      <c r="G3">
        <v>950</v>
      </c>
      <c r="H3">
        <v>2</v>
      </c>
      <c r="I3" t="s">
        <v>5</v>
      </c>
      <c r="J3">
        <v>600</v>
      </c>
      <c r="K3">
        <v>4</v>
      </c>
      <c r="L3">
        <v>78</v>
      </c>
      <c r="M3">
        <v>0.06</v>
      </c>
      <c r="N3">
        <v>720</v>
      </c>
      <c r="O3">
        <v>0.77599052393341339</v>
      </c>
      <c r="P3">
        <v>7.0821778393768101E-7</v>
      </c>
      <c r="Q3">
        <v>25</v>
      </c>
      <c r="R3">
        <v>6.69</v>
      </c>
      <c r="S3">
        <v>0</v>
      </c>
      <c r="T3">
        <v>2.14</v>
      </c>
      <c r="U3">
        <v>0</v>
      </c>
      <c r="V3">
        <v>1.65</v>
      </c>
      <c r="W3">
        <v>2.11</v>
      </c>
      <c r="X3">
        <v>2.1999999999999999E-2</v>
      </c>
      <c r="Y3">
        <v>2.5999999999999999E-2</v>
      </c>
      <c r="Z3">
        <v>0.12</v>
      </c>
      <c r="AA3">
        <v>3.9E-2</v>
      </c>
      <c r="AB3">
        <v>0.02</v>
      </c>
      <c r="AC3">
        <v>3.0999999999999999E-3</v>
      </c>
    </row>
    <row r="4" spans="1:29" x14ac:dyDescent="0.3">
      <c r="A4" t="s">
        <v>2</v>
      </c>
      <c r="B4" t="s">
        <v>3</v>
      </c>
      <c r="C4" t="s">
        <v>4</v>
      </c>
      <c r="D4">
        <v>25</v>
      </c>
      <c r="E4">
        <v>76</v>
      </c>
      <c r="F4">
        <v>2</v>
      </c>
      <c r="G4">
        <v>950</v>
      </c>
      <c r="H4">
        <v>2</v>
      </c>
      <c r="I4" t="s">
        <v>5</v>
      </c>
      <c r="J4">
        <v>600</v>
      </c>
      <c r="K4">
        <v>4</v>
      </c>
      <c r="L4">
        <v>8</v>
      </c>
      <c r="M4">
        <v>0.06</v>
      </c>
      <c r="N4">
        <v>720</v>
      </c>
      <c r="O4">
        <v>0.77599052393341339</v>
      </c>
      <c r="P4">
        <v>7.0821778393768101E-7</v>
      </c>
      <c r="Q4">
        <v>25</v>
      </c>
      <c r="R4">
        <v>6.69</v>
      </c>
      <c r="S4">
        <v>0</v>
      </c>
      <c r="T4">
        <v>2.14</v>
      </c>
      <c r="U4">
        <v>0</v>
      </c>
      <c r="V4">
        <v>1.65</v>
      </c>
      <c r="W4">
        <v>2.11</v>
      </c>
      <c r="X4">
        <v>2.1999999999999999E-2</v>
      </c>
      <c r="Y4">
        <v>2.5999999999999999E-2</v>
      </c>
      <c r="Z4">
        <v>0.12</v>
      </c>
      <c r="AA4">
        <v>3.9E-2</v>
      </c>
      <c r="AB4">
        <v>0.02</v>
      </c>
      <c r="AC4">
        <v>3.0999999999999999E-3</v>
      </c>
    </row>
    <row r="5" spans="1:29" x14ac:dyDescent="0.3">
      <c r="A5" t="s">
        <v>2</v>
      </c>
      <c r="B5" t="s">
        <v>3</v>
      </c>
      <c r="C5" t="s">
        <v>4</v>
      </c>
      <c r="D5">
        <v>25</v>
      </c>
      <c r="E5">
        <v>76</v>
      </c>
      <c r="F5">
        <v>2</v>
      </c>
      <c r="G5">
        <v>950</v>
      </c>
      <c r="H5">
        <v>2</v>
      </c>
      <c r="I5" t="s">
        <v>5</v>
      </c>
      <c r="J5">
        <v>600</v>
      </c>
      <c r="K5">
        <v>4</v>
      </c>
      <c r="L5">
        <v>132</v>
      </c>
      <c r="M5">
        <v>0.06</v>
      </c>
      <c r="N5">
        <v>760</v>
      </c>
      <c r="O5">
        <v>0.77599052393341339</v>
      </c>
      <c r="P5">
        <v>7.0948252702288829E-7</v>
      </c>
      <c r="Q5">
        <v>25</v>
      </c>
      <c r="R5">
        <v>6.69</v>
      </c>
      <c r="S5">
        <v>0</v>
      </c>
      <c r="T5">
        <v>2.14</v>
      </c>
      <c r="U5">
        <v>0</v>
      </c>
      <c r="V5">
        <v>1.65</v>
      </c>
      <c r="W5">
        <v>2.11</v>
      </c>
      <c r="X5">
        <v>2.1999999999999999E-2</v>
      </c>
      <c r="Y5">
        <v>2.5999999999999999E-2</v>
      </c>
      <c r="Z5">
        <v>0.12</v>
      </c>
      <c r="AA5">
        <v>3.9E-2</v>
      </c>
      <c r="AB5">
        <v>0.02</v>
      </c>
      <c r="AC5">
        <v>3.0999999999999999E-3</v>
      </c>
    </row>
    <row r="6" spans="1:29" x14ac:dyDescent="0.3">
      <c r="A6" t="s">
        <v>2</v>
      </c>
      <c r="B6" t="s">
        <v>3</v>
      </c>
      <c r="C6" t="s">
        <v>4</v>
      </c>
      <c r="D6">
        <v>25</v>
      </c>
      <c r="E6">
        <v>76</v>
      </c>
      <c r="F6">
        <v>2</v>
      </c>
      <c r="G6">
        <v>950</v>
      </c>
      <c r="H6">
        <v>2</v>
      </c>
      <c r="I6" t="s">
        <v>5</v>
      </c>
      <c r="J6">
        <v>600</v>
      </c>
      <c r="K6">
        <v>4</v>
      </c>
      <c r="L6">
        <v>22</v>
      </c>
      <c r="M6">
        <v>0.06</v>
      </c>
      <c r="N6">
        <v>760</v>
      </c>
      <c r="O6">
        <v>0.77599052393341339</v>
      </c>
      <c r="P6">
        <v>7.0948252702288829E-7</v>
      </c>
      <c r="Q6">
        <v>25</v>
      </c>
      <c r="R6">
        <v>6.69</v>
      </c>
      <c r="S6">
        <v>0</v>
      </c>
      <c r="T6">
        <v>2.14</v>
      </c>
      <c r="U6">
        <v>0</v>
      </c>
      <c r="V6">
        <v>1.65</v>
      </c>
      <c r="W6">
        <v>2.11</v>
      </c>
      <c r="X6">
        <v>2.1999999999999999E-2</v>
      </c>
      <c r="Y6">
        <v>2.5999999999999999E-2</v>
      </c>
      <c r="Z6">
        <v>0.12</v>
      </c>
      <c r="AA6">
        <v>3.9E-2</v>
      </c>
      <c r="AB6">
        <v>0.02</v>
      </c>
      <c r="AC6">
        <v>3.0999999999999999E-3</v>
      </c>
    </row>
    <row r="7" spans="1:29" x14ac:dyDescent="0.3">
      <c r="A7" t="s">
        <v>2</v>
      </c>
      <c r="B7" t="s">
        <v>3</v>
      </c>
      <c r="C7" t="s">
        <v>4</v>
      </c>
      <c r="D7">
        <v>25</v>
      </c>
      <c r="E7">
        <v>76</v>
      </c>
      <c r="F7">
        <v>2</v>
      </c>
      <c r="G7">
        <v>950</v>
      </c>
      <c r="H7">
        <v>2</v>
      </c>
      <c r="I7" t="s">
        <v>5</v>
      </c>
      <c r="J7">
        <v>600</v>
      </c>
      <c r="K7">
        <v>4</v>
      </c>
      <c r="L7">
        <v>116</v>
      </c>
      <c r="M7">
        <v>0.06</v>
      </c>
      <c r="N7">
        <v>800</v>
      </c>
      <c r="O7">
        <v>0.80989229894995984</v>
      </c>
      <c r="P7">
        <v>7.1068446995952741E-7</v>
      </c>
      <c r="Q7">
        <v>25</v>
      </c>
      <c r="R7">
        <v>6.69</v>
      </c>
      <c r="S7">
        <v>0</v>
      </c>
      <c r="T7">
        <v>2.14</v>
      </c>
      <c r="U7">
        <v>0</v>
      </c>
      <c r="V7">
        <v>1.65</v>
      </c>
      <c r="W7">
        <v>2.11</v>
      </c>
      <c r="X7">
        <v>2.1999999999999999E-2</v>
      </c>
      <c r="Y7">
        <v>2.5999999999999999E-2</v>
      </c>
      <c r="Z7">
        <v>0.12</v>
      </c>
      <c r="AA7">
        <v>3.9E-2</v>
      </c>
      <c r="AB7">
        <v>0.02</v>
      </c>
      <c r="AC7">
        <v>3.0999999999999999E-3</v>
      </c>
    </row>
    <row r="8" spans="1:29" x14ac:dyDescent="0.3">
      <c r="A8" t="s">
        <v>2</v>
      </c>
      <c r="B8" t="s">
        <v>3</v>
      </c>
      <c r="C8" t="s">
        <v>4</v>
      </c>
      <c r="D8">
        <v>25</v>
      </c>
      <c r="E8">
        <v>76</v>
      </c>
      <c r="F8">
        <v>2</v>
      </c>
      <c r="G8">
        <v>950</v>
      </c>
      <c r="H8">
        <v>2</v>
      </c>
      <c r="I8" t="s">
        <v>5</v>
      </c>
      <c r="J8">
        <v>600</v>
      </c>
      <c r="K8">
        <v>4</v>
      </c>
      <c r="L8">
        <v>22</v>
      </c>
      <c r="M8">
        <v>0.06</v>
      </c>
      <c r="N8">
        <v>800</v>
      </c>
      <c r="O8">
        <v>0.77599052393341339</v>
      </c>
      <c r="P8">
        <v>7.1068446995952741E-7</v>
      </c>
      <c r="Q8">
        <v>25</v>
      </c>
      <c r="R8">
        <v>6.69</v>
      </c>
      <c r="S8">
        <v>0</v>
      </c>
      <c r="T8">
        <v>2.14</v>
      </c>
      <c r="U8">
        <v>0</v>
      </c>
      <c r="V8">
        <v>1.65</v>
      </c>
      <c r="W8">
        <v>2.11</v>
      </c>
      <c r="X8">
        <v>2.1999999999999999E-2</v>
      </c>
      <c r="Y8">
        <v>2.5999999999999999E-2</v>
      </c>
      <c r="Z8">
        <v>0.12</v>
      </c>
      <c r="AA8">
        <v>3.9E-2</v>
      </c>
      <c r="AB8">
        <v>0.02</v>
      </c>
      <c r="AC8">
        <v>3.0999999999999999E-3</v>
      </c>
    </row>
    <row r="9" spans="1:29" x14ac:dyDescent="0.3">
      <c r="A9" t="s">
        <v>7</v>
      </c>
      <c r="B9" t="s">
        <v>8</v>
      </c>
      <c r="C9" t="s">
        <v>6</v>
      </c>
      <c r="D9">
        <v>25</v>
      </c>
      <c r="E9">
        <v>76</v>
      </c>
      <c r="F9">
        <v>2</v>
      </c>
      <c r="G9">
        <v>25</v>
      </c>
      <c r="H9">
        <v>1</v>
      </c>
      <c r="I9" t="s">
        <v>21</v>
      </c>
      <c r="J9">
        <v>25</v>
      </c>
      <c r="K9">
        <v>1</v>
      </c>
      <c r="L9">
        <v>70</v>
      </c>
      <c r="M9">
        <v>-1</v>
      </c>
      <c r="N9">
        <v>340</v>
      </c>
      <c r="O9">
        <v>0.61625969192544583</v>
      </c>
      <c r="P9">
        <v>6.9089756162128487E-7</v>
      </c>
      <c r="Q9">
        <v>25</v>
      </c>
      <c r="R9">
        <v>6.75</v>
      </c>
      <c r="S9">
        <v>0</v>
      </c>
      <c r="T9">
        <v>0</v>
      </c>
      <c r="U9">
        <v>0</v>
      </c>
      <c r="V9">
        <v>0</v>
      </c>
      <c r="W9">
        <v>4.5</v>
      </c>
      <c r="X9">
        <v>0</v>
      </c>
      <c r="Y9">
        <v>1.4999999999999999E-2</v>
      </c>
      <c r="Z9">
        <v>0.2</v>
      </c>
      <c r="AA9">
        <v>0.08</v>
      </c>
      <c r="AB9">
        <v>0.05</v>
      </c>
      <c r="AC9">
        <v>0.4</v>
      </c>
    </row>
    <row r="10" spans="1:29" x14ac:dyDescent="0.3">
      <c r="A10" t="s">
        <v>7</v>
      </c>
      <c r="B10" t="s">
        <v>8</v>
      </c>
      <c r="C10" t="s">
        <v>9</v>
      </c>
      <c r="D10">
        <v>25</v>
      </c>
      <c r="E10">
        <v>76</v>
      </c>
      <c r="F10">
        <v>2</v>
      </c>
      <c r="G10">
        <v>650</v>
      </c>
      <c r="H10">
        <v>3</v>
      </c>
      <c r="I10" t="s">
        <v>21</v>
      </c>
      <c r="J10">
        <v>25</v>
      </c>
      <c r="K10">
        <v>1</v>
      </c>
      <c r="L10">
        <v>70</v>
      </c>
      <c r="M10">
        <v>0.1</v>
      </c>
      <c r="N10">
        <v>453</v>
      </c>
      <c r="O10">
        <v>0.61179755234275957</v>
      </c>
      <c r="P10">
        <v>6.9747090598042519E-7</v>
      </c>
      <c r="Q10">
        <v>25</v>
      </c>
      <c r="R10">
        <v>6.75</v>
      </c>
      <c r="S10">
        <v>0</v>
      </c>
      <c r="T10">
        <v>0</v>
      </c>
      <c r="U10">
        <v>0</v>
      </c>
      <c r="V10">
        <v>0</v>
      </c>
      <c r="W10">
        <v>4.5</v>
      </c>
      <c r="X10">
        <v>0</v>
      </c>
      <c r="Y10">
        <v>1.4999999999999999E-2</v>
      </c>
      <c r="Z10">
        <v>0.2</v>
      </c>
      <c r="AA10">
        <v>0.08</v>
      </c>
      <c r="AB10">
        <v>0.05</v>
      </c>
      <c r="AC10">
        <v>0.4</v>
      </c>
    </row>
    <row r="11" spans="1:29" x14ac:dyDescent="0.3">
      <c r="A11" t="s">
        <v>7</v>
      </c>
      <c r="B11" t="s">
        <v>8</v>
      </c>
      <c r="C11" t="s">
        <v>4</v>
      </c>
      <c r="D11">
        <v>25</v>
      </c>
      <c r="E11">
        <v>76</v>
      </c>
      <c r="F11">
        <v>2</v>
      </c>
      <c r="G11">
        <v>950</v>
      </c>
      <c r="H11">
        <v>2</v>
      </c>
      <c r="I11" t="s">
        <v>5</v>
      </c>
      <c r="J11">
        <v>600</v>
      </c>
      <c r="K11">
        <v>4</v>
      </c>
      <c r="L11">
        <v>70</v>
      </c>
      <c r="M11">
        <v>-1</v>
      </c>
      <c r="N11">
        <v>340</v>
      </c>
      <c r="O11">
        <v>0.69469507889398208</v>
      </c>
      <c r="P11">
        <v>6.9089756162128487E-7</v>
      </c>
      <c r="Q11">
        <v>25</v>
      </c>
      <c r="R11">
        <v>6.75</v>
      </c>
      <c r="S11">
        <v>0</v>
      </c>
      <c r="T11">
        <v>0</v>
      </c>
      <c r="U11">
        <v>0</v>
      </c>
      <c r="V11">
        <v>0</v>
      </c>
      <c r="W11">
        <v>4.5</v>
      </c>
      <c r="X11">
        <v>0</v>
      </c>
      <c r="Y11">
        <v>1.4999999999999999E-2</v>
      </c>
      <c r="Z11">
        <v>0.2</v>
      </c>
      <c r="AA11">
        <v>0.08</v>
      </c>
      <c r="AB11">
        <v>0.05</v>
      </c>
      <c r="AC11">
        <v>0.4</v>
      </c>
    </row>
    <row r="12" spans="1:29" x14ac:dyDescent="0.3">
      <c r="A12" t="s">
        <v>7</v>
      </c>
      <c r="B12" t="s">
        <v>10</v>
      </c>
      <c r="C12" t="s">
        <v>6</v>
      </c>
      <c r="D12">
        <v>25</v>
      </c>
      <c r="E12">
        <v>76</v>
      </c>
      <c r="F12">
        <v>2</v>
      </c>
      <c r="G12">
        <v>25</v>
      </c>
      <c r="H12">
        <v>1</v>
      </c>
      <c r="I12" t="s">
        <v>21</v>
      </c>
      <c r="J12">
        <v>25</v>
      </c>
      <c r="K12">
        <v>1</v>
      </c>
      <c r="L12">
        <v>70</v>
      </c>
      <c r="M12">
        <v>-1</v>
      </c>
      <c r="N12">
        <v>464</v>
      </c>
      <c r="O12">
        <v>0.61625969192544583</v>
      </c>
      <c r="P12">
        <v>6.9802334729666484E-7</v>
      </c>
      <c r="Q12">
        <v>25</v>
      </c>
      <c r="R12">
        <v>6.75</v>
      </c>
      <c r="S12">
        <v>0</v>
      </c>
      <c r="T12">
        <v>0</v>
      </c>
      <c r="U12">
        <v>0</v>
      </c>
      <c r="V12">
        <v>0</v>
      </c>
      <c r="W12">
        <v>4.5</v>
      </c>
      <c r="X12">
        <v>0</v>
      </c>
      <c r="Y12">
        <v>1.4999999999999999E-2</v>
      </c>
      <c r="Z12">
        <v>0.2</v>
      </c>
      <c r="AA12">
        <v>0.08</v>
      </c>
      <c r="AB12">
        <v>0.05</v>
      </c>
      <c r="AC12">
        <v>0.4</v>
      </c>
    </row>
    <row r="13" spans="1:29" x14ac:dyDescent="0.3">
      <c r="A13" t="s">
        <v>7</v>
      </c>
      <c r="B13" t="s">
        <v>11</v>
      </c>
      <c r="C13" t="s">
        <v>9</v>
      </c>
      <c r="D13">
        <v>25</v>
      </c>
      <c r="E13">
        <v>76</v>
      </c>
      <c r="F13">
        <v>2</v>
      </c>
      <c r="G13">
        <v>600</v>
      </c>
      <c r="H13">
        <v>1</v>
      </c>
      <c r="I13" t="s">
        <v>21</v>
      </c>
      <c r="J13">
        <v>25</v>
      </c>
      <c r="K13">
        <v>1</v>
      </c>
      <c r="L13">
        <v>70</v>
      </c>
      <c r="M13">
        <v>0.1</v>
      </c>
      <c r="N13">
        <v>388</v>
      </c>
      <c r="O13">
        <v>0.61625969192544583</v>
      </c>
      <c r="P13">
        <v>6.9391504331182774E-7</v>
      </c>
      <c r="Q13">
        <v>25</v>
      </c>
      <c r="R13">
        <v>6.75</v>
      </c>
      <c r="S13">
        <v>0</v>
      </c>
      <c r="T13">
        <v>0</v>
      </c>
      <c r="U13">
        <v>0</v>
      </c>
      <c r="V13">
        <v>0</v>
      </c>
      <c r="W13">
        <v>4.5</v>
      </c>
      <c r="X13">
        <v>0</v>
      </c>
      <c r="Y13">
        <v>1.4999999999999999E-2</v>
      </c>
      <c r="Z13">
        <v>0.2</v>
      </c>
      <c r="AA13">
        <v>0.08</v>
      </c>
      <c r="AB13">
        <v>0.05</v>
      </c>
      <c r="AC13">
        <v>0.4</v>
      </c>
    </row>
    <row r="14" spans="1:29" x14ac:dyDescent="0.3">
      <c r="A14" t="s">
        <v>7</v>
      </c>
      <c r="B14" t="s">
        <v>12</v>
      </c>
      <c r="C14" t="s">
        <v>13</v>
      </c>
      <c r="D14">
        <v>920</v>
      </c>
      <c r="E14">
        <v>103</v>
      </c>
      <c r="F14">
        <v>2</v>
      </c>
      <c r="G14">
        <v>25</v>
      </c>
      <c r="H14">
        <v>1</v>
      </c>
      <c r="I14" t="s">
        <v>21</v>
      </c>
      <c r="J14">
        <v>25</v>
      </c>
      <c r="K14">
        <v>1</v>
      </c>
      <c r="L14">
        <v>70</v>
      </c>
      <c r="M14">
        <v>0.1</v>
      </c>
      <c r="N14">
        <v>500</v>
      </c>
      <c r="O14">
        <v>0.61179755234275957</v>
      </c>
      <c r="P14">
        <v>6.9974671095948523E-7</v>
      </c>
      <c r="Q14">
        <v>25</v>
      </c>
      <c r="R14">
        <v>6.75</v>
      </c>
      <c r="S14">
        <v>0</v>
      </c>
      <c r="T14">
        <v>0</v>
      </c>
      <c r="U14">
        <v>0</v>
      </c>
      <c r="V14">
        <v>0</v>
      </c>
      <c r="W14">
        <v>4.5</v>
      </c>
      <c r="X14">
        <v>0</v>
      </c>
      <c r="Y14">
        <v>1.4999999999999999E-2</v>
      </c>
      <c r="Z14">
        <v>0.2</v>
      </c>
      <c r="AA14">
        <v>0.08</v>
      </c>
      <c r="AB14">
        <v>0.05</v>
      </c>
      <c r="AC14">
        <v>0.4</v>
      </c>
    </row>
    <row r="15" spans="1:29" x14ac:dyDescent="0.3">
      <c r="A15" t="s">
        <v>7</v>
      </c>
      <c r="B15" t="s">
        <v>14</v>
      </c>
      <c r="C15" t="s">
        <v>9</v>
      </c>
      <c r="D15">
        <v>25</v>
      </c>
      <c r="E15">
        <v>76</v>
      </c>
      <c r="F15">
        <v>2</v>
      </c>
      <c r="G15">
        <v>730</v>
      </c>
      <c r="H15">
        <v>2</v>
      </c>
      <c r="I15" t="s">
        <v>21</v>
      </c>
      <c r="J15">
        <v>25</v>
      </c>
      <c r="K15">
        <v>1</v>
      </c>
      <c r="L15">
        <v>70</v>
      </c>
      <c r="M15">
        <v>0.01</v>
      </c>
      <c r="N15">
        <v>482</v>
      </c>
      <c r="O15">
        <v>0.61625969192544583</v>
      </c>
      <c r="P15">
        <v>6.989005913459576E-7</v>
      </c>
      <c r="Q15">
        <v>25</v>
      </c>
      <c r="R15">
        <v>6.75</v>
      </c>
      <c r="S15">
        <v>0</v>
      </c>
      <c r="T15">
        <v>0</v>
      </c>
      <c r="U15">
        <v>0</v>
      </c>
      <c r="V15">
        <v>0</v>
      </c>
      <c r="W15">
        <v>4.5</v>
      </c>
      <c r="X15">
        <v>0</v>
      </c>
      <c r="Y15">
        <v>1.4999999999999999E-2</v>
      </c>
      <c r="Z15">
        <v>0.2</v>
      </c>
      <c r="AA15">
        <v>0.08</v>
      </c>
      <c r="AB15">
        <v>0.05</v>
      </c>
      <c r="AC15">
        <v>0.4</v>
      </c>
    </row>
    <row r="16" spans="1:29" x14ac:dyDescent="0.3">
      <c r="A16" t="s">
        <v>7</v>
      </c>
      <c r="B16" t="s">
        <v>8</v>
      </c>
      <c r="C16" t="s">
        <v>9</v>
      </c>
      <c r="D16">
        <v>25</v>
      </c>
      <c r="E16">
        <v>76</v>
      </c>
      <c r="F16">
        <v>2</v>
      </c>
      <c r="G16">
        <v>500</v>
      </c>
      <c r="H16">
        <v>2</v>
      </c>
      <c r="I16" t="s">
        <v>21</v>
      </c>
      <c r="J16">
        <v>25</v>
      </c>
      <c r="K16">
        <v>1</v>
      </c>
      <c r="L16">
        <v>70</v>
      </c>
      <c r="M16">
        <v>0.1</v>
      </c>
      <c r="N16">
        <v>155</v>
      </c>
      <c r="O16">
        <v>0.61625969192544583</v>
      </c>
      <c r="P16">
        <v>6.7321812774973763E-7</v>
      </c>
      <c r="Q16">
        <v>25</v>
      </c>
      <c r="R16">
        <v>6.75</v>
      </c>
      <c r="S16">
        <v>0</v>
      </c>
      <c r="T16">
        <v>0</v>
      </c>
      <c r="U16">
        <v>0</v>
      </c>
      <c r="V16">
        <v>0</v>
      </c>
      <c r="W16">
        <v>4.5</v>
      </c>
      <c r="X16">
        <v>0</v>
      </c>
      <c r="Y16">
        <v>1.4999999999999999E-2</v>
      </c>
      <c r="Z16">
        <v>0.2</v>
      </c>
      <c r="AA16">
        <v>0.08</v>
      </c>
      <c r="AB16">
        <v>0.05</v>
      </c>
      <c r="AC16">
        <v>0.4</v>
      </c>
    </row>
    <row r="17" spans="1:29" x14ac:dyDescent="0.3">
      <c r="A17" t="s">
        <v>7</v>
      </c>
      <c r="B17" t="s">
        <v>8</v>
      </c>
      <c r="C17" t="s">
        <v>13</v>
      </c>
      <c r="D17">
        <v>900</v>
      </c>
      <c r="E17">
        <v>120</v>
      </c>
      <c r="F17">
        <v>2</v>
      </c>
      <c r="G17">
        <v>25</v>
      </c>
      <c r="H17">
        <v>1</v>
      </c>
      <c r="I17" t="s">
        <v>21</v>
      </c>
      <c r="J17">
        <v>25</v>
      </c>
      <c r="K17">
        <v>1</v>
      </c>
      <c r="L17">
        <v>70</v>
      </c>
      <c r="M17">
        <v>0.1</v>
      </c>
      <c r="N17">
        <v>265</v>
      </c>
      <c r="O17">
        <v>0.61179755234275957</v>
      </c>
      <c r="P17">
        <v>6.8523883730212022E-7</v>
      </c>
      <c r="Q17">
        <v>25</v>
      </c>
      <c r="R17">
        <v>6.75</v>
      </c>
      <c r="S17">
        <v>0</v>
      </c>
      <c r="T17">
        <v>0</v>
      </c>
      <c r="U17">
        <v>0</v>
      </c>
      <c r="V17">
        <v>0</v>
      </c>
      <c r="W17">
        <v>4.5</v>
      </c>
      <c r="X17">
        <v>0</v>
      </c>
      <c r="Y17">
        <v>1.4999999999999999E-2</v>
      </c>
      <c r="Z17">
        <v>0.2</v>
      </c>
      <c r="AA17">
        <v>0.08</v>
      </c>
      <c r="AB17">
        <v>0.05</v>
      </c>
      <c r="AC17">
        <v>0.4</v>
      </c>
    </row>
    <row r="18" spans="1:29" x14ac:dyDescent="0.3">
      <c r="A18" t="s">
        <v>7</v>
      </c>
      <c r="B18" t="s">
        <v>8</v>
      </c>
      <c r="C18" t="s">
        <v>13</v>
      </c>
      <c r="D18">
        <v>900</v>
      </c>
      <c r="E18">
        <v>120</v>
      </c>
      <c r="F18">
        <v>2</v>
      </c>
      <c r="G18">
        <v>25</v>
      </c>
      <c r="H18">
        <v>1</v>
      </c>
      <c r="I18" t="s">
        <v>21</v>
      </c>
      <c r="J18">
        <v>25</v>
      </c>
      <c r="K18">
        <v>1</v>
      </c>
      <c r="L18">
        <v>70</v>
      </c>
      <c r="M18">
        <v>0.1</v>
      </c>
      <c r="N18">
        <v>430</v>
      </c>
      <c r="O18">
        <v>0.61625969192544583</v>
      </c>
      <c r="P18">
        <v>6.9627261559342036E-7</v>
      </c>
      <c r="Q18">
        <v>25</v>
      </c>
      <c r="R18">
        <v>6.75</v>
      </c>
      <c r="S18">
        <v>0</v>
      </c>
      <c r="T18">
        <v>0</v>
      </c>
      <c r="U18">
        <v>0</v>
      </c>
      <c r="V18">
        <v>0</v>
      </c>
      <c r="W18">
        <v>4.5</v>
      </c>
      <c r="X18">
        <v>0</v>
      </c>
      <c r="Y18">
        <v>1.4999999999999999E-2</v>
      </c>
      <c r="Z18">
        <v>0.2</v>
      </c>
      <c r="AA18">
        <v>0.08</v>
      </c>
      <c r="AB18">
        <v>0.05</v>
      </c>
      <c r="AC18">
        <v>0.4</v>
      </c>
    </row>
    <row r="19" spans="1:29" x14ac:dyDescent="0.3">
      <c r="A19" t="s">
        <v>7</v>
      </c>
      <c r="B19" t="s">
        <v>14</v>
      </c>
      <c r="C19" t="s">
        <v>9</v>
      </c>
      <c r="D19">
        <v>25</v>
      </c>
      <c r="E19">
        <v>76</v>
      </c>
      <c r="F19">
        <v>2</v>
      </c>
      <c r="G19">
        <v>700</v>
      </c>
      <c r="H19">
        <v>1</v>
      </c>
      <c r="I19" t="s">
        <v>21</v>
      </c>
      <c r="J19">
        <v>25</v>
      </c>
      <c r="K19">
        <v>1</v>
      </c>
      <c r="L19">
        <v>70</v>
      </c>
      <c r="M19">
        <v>-1</v>
      </c>
      <c r="N19">
        <v>370</v>
      </c>
      <c r="O19">
        <v>0.61179755234275957</v>
      </c>
      <c r="P19">
        <v>6.9282813016766237E-7</v>
      </c>
      <c r="Q19">
        <v>25</v>
      </c>
      <c r="R19">
        <v>6.75</v>
      </c>
      <c r="S19">
        <v>0</v>
      </c>
      <c r="T19">
        <v>0</v>
      </c>
      <c r="U19">
        <v>0</v>
      </c>
      <c r="V19">
        <v>0</v>
      </c>
      <c r="W19">
        <v>4.5</v>
      </c>
      <c r="X19">
        <v>0</v>
      </c>
      <c r="Y19">
        <v>1.4999999999999999E-2</v>
      </c>
      <c r="Z19">
        <v>0.2</v>
      </c>
      <c r="AA19">
        <v>0.08</v>
      </c>
      <c r="AB19">
        <v>0.05</v>
      </c>
      <c r="AC19">
        <v>0.4</v>
      </c>
    </row>
    <row r="20" spans="1:29" x14ac:dyDescent="0.3">
      <c r="A20" t="s">
        <v>7</v>
      </c>
      <c r="B20" t="s">
        <v>8</v>
      </c>
      <c r="C20" t="s">
        <v>9</v>
      </c>
      <c r="D20">
        <v>25</v>
      </c>
      <c r="E20">
        <v>76</v>
      </c>
      <c r="F20">
        <v>2</v>
      </c>
      <c r="G20">
        <v>800</v>
      </c>
      <c r="H20">
        <v>2</v>
      </c>
      <c r="I20" t="s">
        <v>21</v>
      </c>
      <c r="J20">
        <v>25</v>
      </c>
      <c r="K20">
        <v>1</v>
      </c>
      <c r="L20">
        <v>70</v>
      </c>
      <c r="M20">
        <v>-1</v>
      </c>
      <c r="N20">
        <v>580</v>
      </c>
      <c r="O20">
        <v>0.61625969192544583</v>
      </c>
      <c r="P20">
        <v>7.0318237934689411E-7</v>
      </c>
      <c r="Q20">
        <v>25</v>
      </c>
      <c r="R20">
        <v>6.75</v>
      </c>
      <c r="S20">
        <v>0</v>
      </c>
      <c r="T20">
        <v>0</v>
      </c>
      <c r="U20">
        <v>0</v>
      </c>
      <c r="V20">
        <v>0</v>
      </c>
      <c r="W20">
        <v>4.5</v>
      </c>
      <c r="X20">
        <v>0</v>
      </c>
      <c r="Y20">
        <v>1.4999999999999999E-2</v>
      </c>
      <c r="Z20">
        <v>0.2</v>
      </c>
      <c r="AA20">
        <v>0.08</v>
      </c>
      <c r="AB20">
        <v>0.05</v>
      </c>
      <c r="AC20">
        <v>0.4</v>
      </c>
    </row>
    <row r="21" spans="1:29" x14ac:dyDescent="0.3">
      <c r="A21" t="s">
        <v>7</v>
      </c>
      <c r="B21" t="s">
        <v>8</v>
      </c>
      <c r="C21" t="s">
        <v>13</v>
      </c>
      <c r="D21">
        <v>920</v>
      </c>
      <c r="E21">
        <v>100</v>
      </c>
      <c r="F21">
        <v>2</v>
      </c>
      <c r="G21">
        <v>25</v>
      </c>
      <c r="H21">
        <v>1</v>
      </c>
      <c r="I21" t="s">
        <v>21</v>
      </c>
      <c r="J21">
        <v>25</v>
      </c>
      <c r="K21">
        <v>1</v>
      </c>
      <c r="L21">
        <v>70</v>
      </c>
      <c r="M21">
        <v>0.2</v>
      </c>
      <c r="N21">
        <v>100</v>
      </c>
      <c r="O21">
        <v>0.61625969192544583</v>
      </c>
      <c r="P21">
        <v>6.6355183676397996E-7</v>
      </c>
      <c r="Q21">
        <v>25</v>
      </c>
      <c r="R21">
        <v>6.75</v>
      </c>
      <c r="S21">
        <v>0</v>
      </c>
      <c r="T21">
        <v>0</v>
      </c>
      <c r="U21">
        <v>0</v>
      </c>
      <c r="V21">
        <v>0</v>
      </c>
      <c r="W21">
        <v>4.5</v>
      </c>
      <c r="X21">
        <v>0</v>
      </c>
      <c r="Y21">
        <v>1.4999999999999999E-2</v>
      </c>
      <c r="Z21">
        <v>0.2</v>
      </c>
      <c r="AA21">
        <v>0.08</v>
      </c>
      <c r="AB21">
        <v>0.05</v>
      </c>
      <c r="AC21">
        <v>0.4</v>
      </c>
    </row>
    <row r="22" spans="1:29" x14ac:dyDescent="0.3">
      <c r="A22" t="s">
        <v>7</v>
      </c>
      <c r="B22" t="s">
        <v>16</v>
      </c>
      <c r="C22" t="s">
        <v>6</v>
      </c>
      <c r="D22">
        <v>25</v>
      </c>
      <c r="E22">
        <v>76</v>
      </c>
      <c r="F22">
        <v>2</v>
      </c>
      <c r="G22">
        <v>25</v>
      </c>
      <c r="H22">
        <v>1</v>
      </c>
      <c r="I22" t="s">
        <v>21</v>
      </c>
      <c r="J22">
        <v>25</v>
      </c>
      <c r="K22">
        <v>1</v>
      </c>
      <c r="L22">
        <v>70</v>
      </c>
      <c r="M22">
        <v>-1</v>
      </c>
      <c r="N22">
        <v>88</v>
      </c>
      <c r="O22">
        <v>0.61625969192544583</v>
      </c>
      <c r="P22">
        <v>6.6075853841333952E-7</v>
      </c>
      <c r="Q22">
        <v>25</v>
      </c>
      <c r="R22">
        <v>6.75</v>
      </c>
      <c r="S22">
        <v>0</v>
      </c>
      <c r="T22">
        <v>0</v>
      </c>
      <c r="U22">
        <v>0</v>
      </c>
      <c r="V22">
        <v>0</v>
      </c>
      <c r="W22">
        <v>4.5</v>
      </c>
      <c r="X22">
        <v>0</v>
      </c>
      <c r="Y22">
        <v>1.4999999999999999E-2</v>
      </c>
      <c r="Z22">
        <v>0.2</v>
      </c>
      <c r="AA22">
        <v>0.08</v>
      </c>
      <c r="AB22">
        <v>0.05</v>
      </c>
      <c r="AC22">
        <v>0.4</v>
      </c>
    </row>
    <row r="23" spans="1:29" x14ac:dyDescent="0.3">
      <c r="A23" t="s">
        <v>7</v>
      </c>
      <c r="B23" t="s">
        <v>8</v>
      </c>
      <c r="C23" t="s">
        <v>17</v>
      </c>
      <c r="D23">
        <v>920</v>
      </c>
      <c r="E23">
        <v>103</v>
      </c>
      <c r="F23">
        <v>2</v>
      </c>
      <c r="G23">
        <v>700</v>
      </c>
      <c r="H23">
        <v>1</v>
      </c>
      <c r="I23" t="s">
        <v>21</v>
      </c>
      <c r="J23">
        <v>25</v>
      </c>
      <c r="K23">
        <v>1</v>
      </c>
      <c r="L23">
        <v>70</v>
      </c>
      <c r="M23">
        <v>-1</v>
      </c>
      <c r="N23">
        <v>250</v>
      </c>
      <c r="O23">
        <v>0.61625969192544583</v>
      </c>
      <c r="P23">
        <v>6.8392247538457671E-7</v>
      </c>
      <c r="Q23">
        <v>25</v>
      </c>
      <c r="R23">
        <v>6.75</v>
      </c>
      <c r="S23">
        <v>0</v>
      </c>
      <c r="T23">
        <v>0</v>
      </c>
      <c r="U23">
        <v>0</v>
      </c>
      <c r="V23">
        <v>0</v>
      </c>
      <c r="W23">
        <v>4.5</v>
      </c>
      <c r="X23">
        <v>0</v>
      </c>
      <c r="Y23">
        <v>1.4999999999999999E-2</v>
      </c>
      <c r="Z23">
        <v>0.2</v>
      </c>
      <c r="AA23">
        <v>0.08</v>
      </c>
      <c r="AB23">
        <v>0.05</v>
      </c>
      <c r="AC23">
        <v>0.4</v>
      </c>
    </row>
    <row r="24" spans="1:29" x14ac:dyDescent="0.3">
      <c r="A24" t="s">
        <v>7</v>
      </c>
      <c r="B24" t="s">
        <v>8</v>
      </c>
      <c r="C24" t="s">
        <v>18</v>
      </c>
      <c r="D24">
        <v>920</v>
      </c>
      <c r="E24">
        <v>103</v>
      </c>
      <c r="F24">
        <v>2</v>
      </c>
      <c r="G24">
        <v>800</v>
      </c>
      <c r="H24">
        <v>2</v>
      </c>
      <c r="I24" t="s">
        <v>21</v>
      </c>
      <c r="J24">
        <v>25</v>
      </c>
      <c r="K24">
        <v>1</v>
      </c>
      <c r="L24">
        <v>70</v>
      </c>
      <c r="M24">
        <v>-1</v>
      </c>
      <c r="N24">
        <v>420</v>
      </c>
      <c r="O24">
        <v>0.61179755234275957</v>
      </c>
      <c r="P24">
        <v>6.957321652998617E-7</v>
      </c>
      <c r="Q24">
        <v>25</v>
      </c>
      <c r="R24">
        <v>6.75</v>
      </c>
      <c r="S24">
        <v>0</v>
      </c>
      <c r="T24">
        <v>0</v>
      </c>
      <c r="U24">
        <v>0</v>
      </c>
      <c r="V24">
        <v>0</v>
      </c>
      <c r="W24">
        <v>4.5</v>
      </c>
      <c r="X24">
        <v>0</v>
      </c>
      <c r="Y24">
        <v>1.4999999999999999E-2</v>
      </c>
      <c r="Z24">
        <v>0.2</v>
      </c>
      <c r="AA24">
        <v>0.08</v>
      </c>
      <c r="AB24">
        <v>0.05</v>
      </c>
      <c r="AC24">
        <v>0.4</v>
      </c>
    </row>
    <row r="25" spans="1:29" x14ac:dyDescent="0.3">
      <c r="A25" t="s">
        <v>7</v>
      </c>
      <c r="B25" t="s">
        <v>8</v>
      </c>
      <c r="C25" t="s">
        <v>6</v>
      </c>
      <c r="D25">
        <v>25</v>
      </c>
      <c r="E25">
        <v>76</v>
      </c>
      <c r="F25">
        <v>2</v>
      </c>
      <c r="G25">
        <v>25</v>
      </c>
      <c r="H25">
        <v>1</v>
      </c>
      <c r="I25" t="s">
        <v>21</v>
      </c>
      <c r="J25">
        <v>25</v>
      </c>
      <c r="K25">
        <v>1</v>
      </c>
      <c r="L25">
        <v>70</v>
      </c>
      <c r="M25">
        <v>-1</v>
      </c>
      <c r="N25">
        <v>410</v>
      </c>
      <c r="O25">
        <v>0.61625969192544583</v>
      </c>
      <c r="P25">
        <v>6.951791256455108E-7</v>
      </c>
      <c r="Q25">
        <v>25</v>
      </c>
      <c r="R25">
        <v>6.75</v>
      </c>
      <c r="S25">
        <v>0</v>
      </c>
      <c r="T25">
        <v>0</v>
      </c>
      <c r="U25">
        <v>0</v>
      </c>
      <c r="V25">
        <v>0</v>
      </c>
      <c r="W25">
        <v>4.5</v>
      </c>
      <c r="X25">
        <v>0</v>
      </c>
      <c r="Y25">
        <v>1.4999999999999999E-2</v>
      </c>
      <c r="Z25">
        <v>0.2</v>
      </c>
      <c r="AA25">
        <v>0.08</v>
      </c>
      <c r="AB25">
        <v>0.05</v>
      </c>
      <c r="AC25">
        <v>0.4</v>
      </c>
    </row>
    <row r="26" spans="1:29" x14ac:dyDescent="0.3">
      <c r="A26" t="s">
        <v>7</v>
      </c>
      <c r="B26" t="s">
        <v>16</v>
      </c>
      <c r="C26" t="s">
        <v>6</v>
      </c>
      <c r="D26">
        <v>25</v>
      </c>
      <c r="E26">
        <v>76</v>
      </c>
      <c r="F26">
        <v>2</v>
      </c>
      <c r="G26">
        <v>25</v>
      </c>
      <c r="H26">
        <v>1</v>
      </c>
      <c r="I26" t="s">
        <v>21</v>
      </c>
      <c r="J26">
        <v>25</v>
      </c>
      <c r="K26">
        <v>1</v>
      </c>
      <c r="L26">
        <v>70</v>
      </c>
      <c r="M26">
        <v>-1</v>
      </c>
      <c r="N26">
        <v>200</v>
      </c>
      <c r="O26">
        <v>0.61179755234275957</v>
      </c>
      <c r="P26">
        <v>6.7890474730433336E-7</v>
      </c>
      <c r="Q26">
        <v>25</v>
      </c>
      <c r="R26">
        <v>6.75</v>
      </c>
      <c r="S26">
        <v>0</v>
      </c>
      <c r="T26">
        <v>0</v>
      </c>
      <c r="U26">
        <v>0</v>
      </c>
      <c r="V26">
        <v>0</v>
      </c>
      <c r="W26">
        <v>4.5</v>
      </c>
      <c r="X26">
        <v>0</v>
      </c>
      <c r="Y26">
        <v>1.4999999999999999E-2</v>
      </c>
      <c r="Z26">
        <v>0.2</v>
      </c>
      <c r="AA26">
        <v>0.08</v>
      </c>
      <c r="AB26">
        <v>0.05</v>
      </c>
      <c r="AC26">
        <v>0.4</v>
      </c>
    </row>
    <row r="27" spans="1:29" x14ac:dyDescent="0.3">
      <c r="A27" t="s">
        <v>7</v>
      </c>
      <c r="B27" t="s">
        <v>8</v>
      </c>
      <c r="C27" t="s">
        <v>4</v>
      </c>
      <c r="D27">
        <v>25</v>
      </c>
      <c r="E27">
        <v>76</v>
      </c>
      <c r="F27">
        <v>2</v>
      </c>
      <c r="G27">
        <v>920</v>
      </c>
      <c r="H27">
        <v>2</v>
      </c>
      <c r="I27" t="s">
        <v>5</v>
      </c>
      <c r="J27">
        <v>670</v>
      </c>
      <c r="K27">
        <v>4</v>
      </c>
      <c r="L27">
        <v>70</v>
      </c>
      <c r="M27">
        <v>-1</v>
      </c>
      <c r="N27">
        <v>350</v>
      </c>
      <c r="O27">
        <v>0.5859424772788725</v>
      </c>
      <c r="P27">
        <v>6.9155878264107028E-7</v>
      </c>
      <c r="Q27">
        <v>25</v>
      </c>
      <c r="R27">
        <v>6.75</v>
      </c>
      <c r="S27">
        <v>0</v>
      </c>
      <c r="T27">
        <v>0</v>
      </c>
      <c r="U27">
        <v>0</v>
      </c>
      <c r="V27">
        <v>0</v>
      </c>
      <c r="W27">
        <v>4.5</v>
      </c>
      <c r="X27">
        <v>0</v>
      </c>
      <c r="Y27">
        <v>1.4999999999999999E-2</v>
      </c>
      <c r="Z27">
        <v>0.2</v>
      </c>
      <c r="AA27">
        <v>0.08</v>
      </c>
      <c r="AB27">
        <v>0.05</v>
      </c>
      <c r="AC27">
        <v>0.4</v>
      </c>
    </row>
    <row r="28" spans="1:29" x14ac:dyDescent="0.3">
      <c r="A28" t="s">
        <v>7</v>
      </c>
      <c r="B28" t="s">
        <v>8</v>
      </c>
      <c r="C28" t="s">
        <v>9</v>
      </c>
      <c r="D28">
        <v>900</v>
      </c>
      <c r="E28">
        <v>200</v>
      </c>
      <c r="F28">
        <v>1</v>
      </c>
      <c r="G28">
        <v>25</v>
      </c>
      <c r="H28">
        <v>2</v>
      </c>
      <c r="I28" t="s">
        <v>21</v>
      </c>
      <c r="J28">
        <v>670</v>
      </c>
      <c r="K28">
        <v>4</v>
      </c>
      <c r="L28">
        <v>70</v>
      </c>
      <c r="M28">
        <v>0.1</v>
      </c>
      <c r="N28">
        <v>100</v>
      </c>
      <c r="O28">
        <v>0.5859424772788725</v>
      </c>
      <c r="P28">
        <v>6.6355183676397996E-7</v>
      </c>
      <c r="Q28">
        <v>25</v>
      </c>
      <c r="R28">
        <v>6.75</v>
      </c>
      <c r="S28">
        <v>0</v>
      </c>
      <c r="T28">
        <v>0</v>
      </c>
      <c r="U28">
        <v>0</v>
      </c>
      <c r="V28">
        <v>0</v>
      </c>
      <c r="W28">
        <v>4.5</v>
      </c>
      <c r="X28">
        <v>0</v>
      </c>
      <c r="Y28">
        <v>1.4999999999999999E-2</v>
      </c>
      <c r="Z28">
        <v>0.2</v>
      </c>
      <c r="AA28">
        <v>0.08</v>
      </c>
      <c r="AB28">
        <v>0.05</v>
      </c>
      <c r="AC28">
        <v>0.4</v>
      </c>
    </row>
    <row r="29" spans="1:29" x14ac:dyDescent="0.3">
      <c r="A29" t="s">
        <v>7</v>
      </c>
      <c r="B29" t="s">
        <v>8</v>
      </c>
      <c r="C29" t="s">
        <v>9</v>
      </c>
      <c r="D29">
        <v>900</v>
      </c>
      <c r="E29">
        <v>200</v>
      </c>
      <c r="F29">
        <v>1</v>
      </c>
      <c r="G29">
        <v>25</v>
      </c>
      <c r="H29">
        <v>2</v>
      </c>
      <c r="I29" t="s">
        <v>21</v>
      </c>
      <c r="J29">
        <v>670</v>
      </c>
      <c r="K29">
        <v>4</v>
      </c>
      <c r="L29">
        <v>70</v>
      </c>
      <c r="M29">
        <v>0.1</v>
      </c>
      <c r="N29">
        <v>60</v>
      </c>
      <c r="O29">
        <v>0.5859424772788725</v>
      </c>
      <c r="P29">
        <v>6.5245993263099976E-7</v>
      </c>
      <c r="Q29">
        <v>25</v>
      </c>
      <c r="R29">
        <v>6.75</v>
      </c>
      <c r="S29">
        <v>0</v>
      </c>
      <c r="T29">
        <v>0</v>
      </c>
      <c r="U29">
        <v>0</v>
      </c>
      <c r="V29">
        <v>0</v>
      </c>
      <c r="W29">
        <v>4.5</v>
      </c>
      <c r="X29">
        <v>0</v>
      </c>
      <c r="Y29">
        <v>1.4999999999999999E-2</v>
      </c>
      <c r="Z29">
        <v>0.2</v>
      </c>
      <c r="AA29">
        <v>0.08</v>
      </c>
      <c r="AB29">
        <v>0.05</v>
      </c>
      <c r="AC29">
        <v>0.4</v>
      </c>
    </row>
    <row r="30" spans="1:29" x14ac:dyDescent="0.3">
      <c r="A30" t="s">
        <v>7</v>
      </c>
      <c r="B30" t="s">
        <v>16</v>
      </c>
      <c r="C30" t="s">
        <v>9</v>
      </c>
      <c r="D30">
        <v>25</v>
      </c>
      <c r="E30">
        <v>76</v>
      </c>
      <c r="F30">
        <v>1</v>
      </c>
      <c r="G30">
        <v>650</v>
      </c>
      <c r="H30">
        <v>2</v>
      </c>
      <c r="I30" t="s">
        <v>21</v>
      </c>
      <c r="J30">
        <v>25</v>
      </c>
      <c r="K30">
        <v>1</v>
      </c>
      <c r="L30">
        <v>70</v>
      </c>
      <c r="M30">
        <v>0.1</v>
      </c>
      <c r="N30">
        <v>250</v>
      </c>
      <c r="O30">
        <v>0.61625969192544583</v>
      </c>
      <c r="P30">
        <v>6.8392247538457671E-7</v>
      </c>
      <c r="Q30">
        <v>25</v>
      </c>
      <c r="R30">
        <v>6.75</v>
      </c>
      <c r="S30">
        <v>0</v>
      </c>
      <c r="T30">
        <v>0</v>
      </c>
      <c r="U30">
        <v>0</v>
      </c>
      <c r="V30">
        <v>0</v>
      </c>
      <c r="W30">
        <v>4.5</v>
      </c>
      <c r="X30">
        <v>0</v>
      </c>
      <c r="Y30">
        <v>1.4999999999999999E-2</v>
      </c>
      <c r="Z30">
        <v>0.2</v>
      </c>
      <c r="AA30">
        <v>0.08</v>
      </c>
      <c r="AB30">
        <v>0.05</v>
      </c>
      <c r="AC30">
        <v>0.4</v>
      </c>
    </row>
    <row r="31" spans="1:29" x14ac:dyDescent="0.3">
      <c r="A31" t="s">
        <v>7</v>
      </c>
      <c r="B31" t="s">
        <v>16</v>
      </c>
      <c r="C31" t="s">
        <v>13</v>
      </c>
      <c r="D31">
        <v>900</v>
      </c>
      <c r="E31">
        <v>102</v>
      </c>
      <c r="F31">
        <v>2</v>
      </c>
      <c r="G31">
        <v>650</v>
      </c>
      <c r="H31">
        <v>2</v>
      </c>
      <c r="I31" t="s">
        <v>21</v>
      </c>
      <c r="J31">
        <v>25</v>
      </c>
      <c r="K31">
        <v>1</v>
      </c>
      <c r="L31">
        <v>70</v>
      </c>
      <c r="M31">
        <v>0.1</v>
      </c>
      <c r="N31">
        <v>540</v>
      </c>
      <c r="O31">
        <v>0.62436094263907993</v>
      </c>
      <c r="P31">
        <v>7.0152612637489846E-7</v>
      </c>
      <c r="Q31">
        <v>25</v>
      </c>
      <c r="R31">
        <v>6.75</v>
      </c>
      <c r="S31">
        <v>0</v>
      </c>
      <c r="T31">
        <v>0</v>
      </c>
      <c r="U31">
        <v>0</v>
      </c>
      <c r="V31">
        <v>0</v>
      </c>
      <c r="W31">
        <v>4.5</v>
      </c>
      <c r="X31">
        <v>0</v>
      </c>
      <c r="Y31">
        <v>1.4999999999999999E-2</v>
      </c>
      <c r="Z31">
        <v>0.2</v>
      </c>
      <c r="AA31">
        <v>0.08</v>
      </c>
      <c r="AB31">
        <v>0.05</v>
      </c>
      <c r="AC31">
        <v>0.4</v>
      </c>
    </row>
    <row r="32" spans="1:29" x14ac:dyDescent="0.3">
      <c r="A32" t="s">
        <v>7</v>
      </c>
      <c r="B32" t="s">
        <v>19</v>
      </c>
      <c r="C32" t="s">
        <v>9</v>
      </c>
      <c r="D32">
        <v>25</v>
      </c>
      <c r="E32">
        <v>76</v>
      </c>
      <c r="F32">
        <v>1</v>
      </c>
      <c r="G32">
        <v>650</v>
      </c>
      <c r="H32">
        <v>3</v>
      </c>
      <c r="I32" t="s">
        <v>21</v>
      </c>
      <c r="J32">
        <v>25</v>
      </c>
      <c r="K32">
        <v>1</v>
      </c>
      <c r="L32">
        <v>70</v>
      </c>
      <c r="M32">
        <v>-1</v>
      </c>
      <c r="N32">
        <v>60</v>
      </c>
      <c r="O32">
        <v>0.61625969192544583</v>
      </c>
      <c r="P32">
        <v>6.5245993263099976E-7</v>
      </c>
      <c r="Q32">
        <v>25</v>
      </c>
      <c r="R32">
        <v>6.75</v>
      </c>
      <c r="S32">
        <v>0</v>
      </c>
      <c r="T32">
        <v>0</v>
      </c>
      <c r="U32">
        <v>0</v>
      </c>
      <c r="V32">
        <v>0</v>
      </c>
      <c r="W32">
        <v>4.5</v>
      </c>
      <c r="X32">
        <v>0</v>
      </c>
      <c r="Y32">
        <v>1.4999999999999999E-2</v>
      </c>
      <c r="Z32">
        <v>0.2</v>
      </c>
      <c r="AA32">
        <v>0.08</v>
      </c>
      <c r="AB32">
        <v>0.05</v>
      </c>
      <c r="AC32">
        <v>0.4</v>
      </c>
    </row>
    <row r="33" spans="1:29" x14ac:dyDescent="0.3">
      <c r="A33" t="s">
        <v>7</v>
      </c>
      <c r="B33" t="s">
        <v>19</v>
      </c>
      <c r="C33" t="s">
        <v>13</v>
      </c>
      <c r="D33">
        <v>900</v>
      </c>
      <c r="E33">
        <v>102</v>
      </c>
      <c r="F33">
        <v>2</v>
      </c>
      <c r="G33">
        <v>25</v>
      </c>
      <c r="H33">
        <v>1</v>
      </c>
      <c r="I33" t="s">
        <v>21</v>
      </c>
      <c r="J33">
        <v>25</v>
      </c>
      <c r="K33">
        <v>1</v>
      </c>
      <c r="L33">
        <v>70</v>
      </c>
      <c r="M33">
        <v>-1</v>
      </c>
      <c r="N33">
        <v>405</v>
      </c>
      <c r="O33">
        <v>0.61625969192544583</v>
      </c>
      <c r="P33">
        <v>6.9489769552281564E-7</v>
      </c>
      <c r="Q33">
        <v>25</v>
      </c>
      <c r="R33">
        <v>6.75</v>
      </c>
      <c r="S33">
        <v>0</v>
      </c>
      <c r="T33">
        <v>0</v>
      </c>
      <c r="U33">
        <v>0</v>
      </c>
      <c r="V33">
        <v>0</v>
      </c>
      <c r="W33">
        <v>4.5</v>
      </c>
      <c r="X33">
        <v>0</v>
      </c>
      <c r="Y33">
        <v>1.4999999999999999E-2</v>
      </c>
      <c r="Z33">
        <v>0.2</v>
      </c>
      <c r="AA33">
        <v>0.08</v>
      </c>
      <c r="AB33">
        <v>0.05</v>
      </c>
      <c r="AC33">
        <v>0.4</v>
      </c>
    </row>
    <row r="34" spans="1:29" x14ac:dyDescent="0.3">
      <c r="A34" t="s">
        <v>7</v>
      </c>
      <c r="B34" t="s">
        <v>19</v>
      </c>
      <c r="C34" t="s">
        <v>9</v>
      </c>
      <c r="D34">
        <v>25</v>
      </c>
      <c r="E34">
        <v>76</v>
      </c>
      <c r="F34">
        <v>1</v>
      </c>
      <c r="G34">
        <v>650</v>
      </c>
      <c r="H34">
        <v>2</v>
      </c>
      <c r="I34" t="s">
        <v>21</v>
      </c>
      <c r="J34">
        <v>25</v>
      </c>
      <c r="K34">
        <v>1</v>
      </c>
      <c r="L34">
        <v>70</v>
      </c>
      <c r="M34">
        <v>-1</v>
      </c>
      <c r="N34">
        <v>60</v>
      </c>
      <c r="O34">
        <v>0.61179755234275957</v>
      </c>
      <c r="P34">
        <v>6.5245993263099976E-7</v>
      </c>
      <c r="Q34">
        <v>25</v>
      </c>
      <c r="R34">
        <v>6.75</v>
      </c>
      <c r="S34">
        <v>0</v>
      </c>
      <c r="T34">
        <v>0</v>
      </c>
      <c r="U34">
        <v>0</v>
      </c>
      <c r="V34">
        <v>0</v>
      </c>
      <c r="W34">
        <v>4.5</v>
      </c>
      <c r="X34">
        <v>0</v>
      </c>
      <c r="Y34">
        <v>1.4999999999999999E-2</v>
      </c>
      <c r="Z34">
        <v>0.2</v>
      </c>
      <c r="AA34">
        <v>0.08</v>
      </c>
      <c r="AB34">
        <v>0.05</v>
      </c>
      <c r="AC34">
        <v>0.4</v>
      </c>
    </row>
    <row r="35" spans="1:29" x14ac:dyDescent="0.3">
      <c r="A35" t="s">
        <v>7</v>
      </c>
      <c r="B35" t="s">
        <v>19</v>
      </c>
      <c r="C35" t="s">
        <v>13</v>
      </c>
      <c r="D35">
        <v>900</v>
      </c>
      <c r="E35">
        <v>102</v>
      </c>
      <c r="F35">
        <v>2</v>
      </c>
      <c r="G35">
        <v>650</v>
      </c>
      <c r="H35">
        <v>2</v>
      </c>
      <c r="I35" t="s">
        <v>21</v>
      </c>
      <c r="J35">
        <v>25</v>
      </c>
      <c r="K35">
        <v>1</v>
      </c>
      <c r="L35">
        <v>70</v>
      </c>
      <c r="M35">
        <v>-1</v>
      </c>
      <c r="N35">
        <v>400</v>
      </c>
      <c r="O35">
        <v>0.73184042486891066</v>
      </c>
      <c r="P35">
        <v>6.9461288534764957E-7</v>
      </c>
      <c r="Q35">
        <v>25</v>
      </c>
      <c r="R35">
        <v>6.75</v>
      </c>
      <c r="S35">
        <v>0</v>
      </c>
      <c r="T35">
        <v>0</v>
      </c>
      <c r="U35">
        <v>0</v>
      </c>
      <c r="V35">
        <v>0</v>
      </c>
      <c r="W35">
        <v>4.5</v>
      </c>
      <c r="X35">
        <v>0</v>
      </c>
      <c r="Y35">
        <v>1.4999999999999999E-2</v>
      </c>
      <c r="Z35">
        <v>0.2</v>
      </c>
      <c r="AA35">
        <v>0.08</v>
      </c>
      <c r="AB35">
        <v>0.05</v>
      </c>
      <c r="AC35">
        <v>0.4</v>
      </c>
    </row>
    <row r="36" spans="1:29" x14ac:dyDescent="0.3">
      <c r="A36" t="s">
        <v>7</v>
      </c>
      <c r="B36" t="s">
        <v>8</v>
      </c>
      <c r="C36" t="s">
        <v>9</v>
      </c>
      <c r="D36">
        <v>25</v>
      </c>
      <c r="E36">
        <v>76</v>
      </c>
      <c r="F36">
        <v>1</v>
      </c>
      <c r="G36">
        <v>650</v>
      </c>
      <c r="H36">
        <v>3</v>
      </c>
      <c r="I36" t="s">
        <v>21</v>
      </c>
      <c r="J36">
        <v>25</v>
      </c>
      <c r="K36">
        <v>1</v>
      </c>
      <c r="L36">
        <v>40</v>
      </c>
      <c r="M36">
        <v>0.1</v>
      </c>
      <c r="N36">
        <v>340</v>
      </c>
      <c r="O36">
        <v>0.7306392553915726</v>
      </c>
      <c r="P36">
        <v>6.9089756162128487E-7</v>
      </c>
      <c r="Q36">
        <v>25</v>
      </c>
      <c r="R36">
        <v>6.75</v>
      </c>
      <c r="S36">
        <v>0</v>
      </c>
      <c r="T36">
        <v>0</v>
      </c>
      <c r="U36">
        <v>0</v>
      </c>
      <c r="V36">
        <v>0</v>
      </c>
      <c r="W36">
        <v>4.5</v>
      </c>
      <c r="X36">
        <v>0</v>
      </c>
      <c r="Y36">
        <v>1.4999999999999999E-2</v>
      </c>
      <c r="Z36">
        <v>0.2</v>
      </c>
      <c r="AA36">
        <v>0.08</v>
      </c>
      <c r="AB36">
        <v>0.05</v>
      </c>
      <c r="AC36">
        <v>0.4</v>
      </c>
    </row>
    <row r="37" spans="1:29" x14ac:dyDescent="0.3">
      <c r="A37" t="s">
        <v>7</v>
      </c>
      <c r="B37" t="s">
        <v>8</v>
      </c>
      <c r="C37" t="s">
        <v>9</v>
      </c>
      <c r="D37">
        <v>25</v>
      </c>
      <c r="E37">
        <v>76</v>
      </c>
      <c r="F37">
        <v>1</v>
      </c>
      <c r="G37">
        <v>650</v>
      </c>
      <c r="H37">
        <v>3</v>
      </c>
      <c r="I37" t="s">
        <v>21</v>
      </c>
      <c r="J37">
        <v>25</v>
      </c>
      <c r="K37">
        <v>1</v>
      </c>
      <c r="L37">
        <v>40</v>
      </c>
      <c r="M37">
        <v>0.1</v>
      </c>
      <c r="N37">
        <v>453</v>
      </c>
      <c r="O37">
        <v>0.61625969192544583</v>
      </c>
      <c r="P37">
        <v>6.9747090598042519E-7</v>
      </c>
      <c r="Q37">
        <v>25</v>
      </c>
      <c r="R37">
        <v>6.75</v>
      </c>
      <c r="S37">
        <v>0</v>
      </c>
      <c r="T37">
        <v>0</v>
      </c>
      <c r="U37">
        <v>0</v>
      </c>
      <c r="V37">
        <v>0</v>
      </c>
      <c r="W37">
        <v>4.5</v>
      </c>
      <c r="X37">
        <v>0</v>
      </c>
      <c r="Y37">
        <v>1.4999999999999999E-2</v>
      </c>
      <c r="Z37">
        <v>0.2</v>
      </c>
      <c r="AA37">
        <v>0.08</v>
      </c>
      <c r="AB37">
        <v>0.05</v>
      </c>
      <c r="AC37">
        <v>0.4</v>
      </c>
    </row>
    <row r="38" spans="1:29" x14ac:dyDescent="0.3">
      <c r="A38" t="s">
        <v>7</v>
      </c>
      <c r="B38" t="s">
        <v>10</v>
      </c>
      <c r="C38" t="s">
        <v>6</v>
      </c>
      <c r="D38">
        <v>25</v>
      </c>
      <c r="E38">
        <v>76</v>
      </c>
      <c r="F38">
        <v>2</v>
      </c>
      <c r="G38">
        <v>25</v>
      </c>
      <c r="H38">
        <v>1</v>
      </c>
      <c r="I38" t="s">
        <v>21</v>
      </c>
      <c r="J38">
        <v>25</v>
      </c>
      <c r="K38">
        <v>1</v>
      </c>
      <c r="L38">
        <v>126</v>
      </c>
      <c r="M38">
        <v>0.1</v>
      </c>
      <c r="N38">
        <v>500</v>
      </c>
      <c r="O38">
        <v>0.61625969192544583</v>
      </c>
      <c r="P38">
        <v>6.9974671095948523E-7</v>
      </c>
      <c r="Q38">
        <v>25</v>
      </c>
      <c r="R38">
        <v>6.75</v>
      </c>
      <c r="S38">
        <v>0</v>
      </c>
      <c r="T38">
        <v>0</v>
      </c>
      <c r="U38">
        <v>0</v>
      </c>
      <c r="V38">
        <v>0</v>
      </c>
      <c r="W38">
        <v>4.5</v>
      </c>
      <c r="X38">
        <v>0</v>
      </c>
      <c r="Y38">
        <v>1.4999999999999999E-2</v>
      </c>
      <c r="Z38">
        <v>0.2</v>
      </c>
      <c r="AA38">
        <v>0.08</v>
      </c>
      <c r="AB38">
        <v>0.05</v>
      </c>
      <c r="AC38">
        <v>0.4</v>
      </c>
    </row>
    <row r="39" spans="1:29" x14ac:dyDescent="0.3">
      <c r="A39" t="s">
        <v>7</v>
      </c>
      <c r="B39" t="s">
        <v>11</v>
      </c>
      <c r="C39" t="s">
        <v>9</v>
      </c>
      <c r="D39">
        <v>25</v>
      </c>
      <c r="E39">
        <v>76</v>
      </c>
      <c r="F39">
        <v>1</v>
      </c>
      <c r="G39">
        <v>600</v>
      </c>
      <c r="H39">
        <v>1</v>
      </c>
      <c r="I39" t="s">
        <v>21</v>
      </c>
      <c r="J39">
        <v>25</v>
      </c>
      <c r="K39">
        <v>1</v>
      </c>
      <c r="L39">
        <v>290</v>
      </c>
      <c r="M39">
        <v>0.01</v>
      </c>
      <c r="N39">
        <v>482</v>
      </c>
      <c r="O39">
        <v>0.61625969192544583</v>
      </c>
      <c r="P39">
        <v>6.989005913459576E-7</v>
      </c>
      <c r="Q39">
        <v>25</v>
      </c>
      <c r="R39">
        <v>6.75</v>
      </c>
      <c r="S39">
        <v>0</v>
      </c>
      <c r="T39">
        <v>0</v>
      </c>
      <c r="U39">
        <v>0</v>
      </c>
      <c r="V39">
        <v>0</v>
      </c>
      <c r="W39">
        <v>4.5</v>
      </c>
      <c r="X39">
        <v>0</v>
      </c>
      <c r="Y39">
        <v>1.4999999999999999E-2</v>
      </c>
      <c r="Z39">
        <v>0.2</v>
      </c>
      <c r="AA39">
        <v>0.08</v>
      </c>
      <c r="AB39">
        <v>0.05</v>
      </c>
      <c r="AC39">
        <v>0.4</v>
      </c>
    </row>
    <row r="40" spans="1:29" x14ac:dyDescent="0.3">
      <c r="A40" t="s">
        <v>7</v>
      </c>
      <c r="B40" t="s">
        <v>12</v>
      </c>
      <c r="C40" t="s">
        <v>13</v>
      </c>
      <c r="D40">
        <v>920</v>
      </c>
      <c r="E40">
        <v>103</v>
      </c>
      <c r="F40">
        <v>2</v>
      </c>
      <c r="G40">
        <v>650</v>
      </c>
      <c r="H40">
        <v>2</v>
      </c>
      <c r="I40" t="s">
        <v>21</v>
      </c>
      <c r="J40">
        <v>25</v>
      </c>
      <c r="K40">
        <v>1</v>
      </c>
      <c r="L40">
        <v>290</v>
      </c>
      <c r="M40">
        <v>0.1</v>
      </c>
      <c r="N40">
        <v>155</v>
      </c>
      <c r="O40">
        <v>0.61625969192544583</v>
      </c>
      <c r="P40">
        <v>6.7321812774973763E-7</v>
      </c>
      <c r="Q40">
        <v>25</v>
      </c>
      <c r="R40">
        <v>6.75</v>
      </c>
      <c r="S40">
        <v>0</v>
      </c>
      <c r="T40">
        <v>0</v>
      </c>
      <c r="U40">
        <v>0</v>
      </c>
      <c r="V40">
        <v>0</v>
      </c>
      <c r="W40">
        <v>4.5</v>
      </c>
      <c r="X40">
        <v>0</v>
      </c>
      <c r="Y40">
        <v>1.4999999999999999E-2</v>
      </c>
      <c r="Z40">
        <v>0.2</v>
      </c>
      <c r="AA40">
        <v>0.08</v>
      </c>
      <c r="AB40">
        <v>0.05</v>
      </c>
      <c r="AC40">
        <v>0.4</v>
      </c>
    </row>
    <row r="41" spans="1:29" x14ac:dyDescent="0.3">
      <c r="A41" t="s">
        <v>7</v>
      </c>
      <c r="B41" t="s">
        <v>14</v>
      </c>
      <c r="C41" t="s">
        <v>9</v>
      </c>
      <c r="D41">
        <v>25</v>
      </c>
      <c r="E41">
        <v>76</v>
      </c>
      <c r="F41">
        <v>1</v>
      </c>
      <c r="G41">
        <v>730</v>
      </c>
      <c r="H41">
        <v>2</v>
      </c>
      <c r="I41" t="s">
        <v>21</v>
      </c>
      <c r="J41">
        <v>25</v>
      </c>
      <c r="K41">
        <v>1</v>
      </c>
      <c r="L41">
        <v>290</v>
      </c>
      <c r="M41">
        <v>0.1</v>
      </c>
      <c r="N41">
        <v>265</v>
      </c>
      <c r="O41">
        <v>0.62436094263907993</v>
      </c>
      <c r="P41">
        <v>6.8523883730212022E-7</v>
      </c>
      <c r="Q41">
        <v>25</v>
      </c>
      <c r="R41">
        <v>6.75</v>
      </c>
      <c r="S41">
        <v>0</v>
      </c>
      <c r="T41">
        <v>0</v>
      </c>
      <c r="U41">
        <v>0</v>
      </c>
      <c r="V41">
        <v>0</v>
      </c>
      <c r="W41">
        <v>4.5</v>
      </c>
      <c r="X41">
        <v>0</v>
      </c>
      <c r="Y41">
        <v>1.4999999999999999E-2</v>
      </c>
      <c r="Z41">
        <v>0.2</v>
      </c>
      <c r="AA41">
        <v>0.08</v>
      </c>
      <c r="AB41">
        <v>0.05</v>
      </c>
      <c r="AC41">
        <v>0.4</v>
      </c>
    </row>
    <row r="42" spans="1:29" x14ac:dyDescent="0.3">
      <c r="A42" t="s">
        <v>7</v>
      </c>
      <c r="B42" t="s">
        <v>8</v>
      </c>
      <c r="C42" t="s">
        <v>9</v>
      </c>
      <c r="D42">
        <v>25</v>
      </c>
      <c r="E42">
        <v>76</v>
      </c>
      <c r="F42">
        <v>2</v>
      </c>
      <c r="G42">
        <v>500</v>
      </c>
      <c r="H42">
        <v>2</v>
      </c>
      <c r="I42" t="s">
        <v>21</v>
      </c>
      <c r="J42">
        <v>25</v>
      </c>
      <c r="K42">
        <v>1</v>
      </c>
      <c r="L42">
        <v>290</v>
      </c>
      <c r="M42">
        <v>0.1</v>
      </c>
      <c r="N42">
        <v>430</v>
      </c>
      <c r="O42">
        <v>0.61625969192544583</v>
      </c>
      <c r="P42">
        <v>6.9627261559342036E-7</v>
      </c>
      <c r="Q42">
        <v>25</v>
      </c>
      <c r="R42">
        <v>6.75</v>
      </c>
      <c r="S42">
        <v>0</v>
      </c>
      <c r="T42">
        <v>0</v>
      </c>
      <c r="U42">
        <v>0</v>
      </c>
      <c r="V42">
        <v>0</v>
      </c>
      <c r="W42">
        <v>4.5</v>
      </c>
      <c r="X42">
        <v>0</v>
      </c>
      <c r="Y42">
        <v>1.4999999999999999E-2</v>
      </c>
      <c r="Z42">
        <v>0.2</v>
      </c>
      <c r="AA42">
        <v>0.08</v>
      </c>
      <c r="AB42">
        <v>0.05</v>
      </c>
      <c r="AC42">
        <v>0.4</v>
      </c>
    </row>
    <row r="43" spans="1:29" x14ac:dyDescent="0.3">
      <c r="A43" t="s">
        <v>7</v>
      </c>
      <c r="B43" t="s">
        <v>8</v>
      </c>
      <c r="C43" t="s">
        <v>13</v>
      </c>
      <c r="D43">
        <v>900</v>
      </c>
      <c r="E43">
        <v>120</v>
      </c>
      <c r="F43">
        <v>2</v>
      </c>
      <c r="G43">
        <v>25</v>
      </c>
      <c r="H43">
        <v>1</v>
      </c>
      <c r="I43" t="s">
        <v>21</v>
      </c>
      <c r="J43">
        <v>25</v>
      </c>
      <c r="K43">
        <v>1</v>
      </c>
      <c r="L43">
        <v>290</v>
      </c>
      <c r="M43">
        <v>-1</v>
      </c>
      <c r="N43">
        <v>370</v>
      </c>
      <c r="O43">
        <v>0.61625969192544583</v>
      </c>
      <c r="P43">
        <v>6.9282813016766237E-7</v>
      </c>
      <c r="Q43">
        <v>25</v>
      </c>
      <c r="R43">
        <v>6.75</v>
      </c>
      <c r="S43">
        <v>0</v>
      </c>
      <c r="T43">
        <v>0</v>
      </c>
      <c r="U43">
        <v>0</v>
      </c>
      <c r="V43">
        <v>0</v>
      </c>
      <c r="W43">
        <v>4.5</v>
      </c>
      <c r="X43">
        <v>0</v>
      </c>
      <c r="Y43">
        <v>1.4999999999999999E-2</v>
      </c>
      <c r="Z43">
        <v>0.2</v>
      </c>
      <c r="AA43">
        <v>0.08</v>
      </c>
      <c r="AB43">
        <v>0.05</v>
      </c>
      <c r="AC43">
        <v>0.4</v>
      </c>
    </row>
    <row r="44" spans="1:29" x14ac:dyDescent="0.3">
      <c r="A44" t="s">
        <v>7</v>
      </c>
      <c r="B44" t="s">
        <v>8</v>
      </c>
      <c r="C44" t="s">
        <v>13</v>
      </c>
      <c r="D44">
        <v>900</v>
      </c>
      <c r="E44">
        <v>120</v>
      </c>
      <c r="F44">
        <v>2</v>
      </c>
      <c r="G44">
        <v>25</v>
      </c>
      <c r="H44">
        <v>1</v>
      </c>
      <c r="I44" t="s">
        <v>21</v>
      </c>
      <c r="J44">
        <v>25</v>
      </c>
      <c r="K44">
        <v>1</v>
      </c>
      <c r="L44">
        <v>290</v>
      </c>
      <c r="M44">
        <v>-1</v>
      </c>
      <c r="N44">
        <v>580</v>
      </c>
      <c r="O44">
        <v>0.61179755234275957</v>
      </c>
      <c r="P44">
        <v>7.0318237934689411E-7</v>
      </c>
      <c r="Q44">
        <v>25</v>
      </c>
      <c r="R44">
        <v>6.75</v>
      </c>
      <c r="S44">
        <v>0</v>
      </c>
      <c r="T44">
        <v>0</v>
      </c>
      <c r="U44">
        <v>0</v>
      </c>
      <c r="V44">
        <v>0</v>
      </c>
      <c r="W44">
        <v>4.5</v>
      </c>
      <c r="X44">
        <v>0</v>
      </c>
      <c r="Y44">
        <v>1.4999999999999999E-2</v>
      </c>
      <c r="Z44">
        <v>0.2</v>
      </c>
      <c r="AA44">
        <v>0.08</v>
      </c>
      <c r="AB44">
        <v>0.05</v>
      </c>
      <c r="AC44">
        <v>0.4</v>
      </c>
    </row>
    <row r="45" spans="1:29" x14ac:dyDescent="0.3">
      <c r="A45" t="s">
        <v>7</v>
      </c>
      <c r="B45" t="s">
        <v>8</v>
      </c>
      <c r="C45" t="s">
        <v>15</v>
      </c>
      <c r="D45">
        <v>25</v>
      </c>
      <c r="E45">
        <v>76</v>
      </c>
      <c r="F45">
        <v>1</v>
      </c>
      <c r="G45">
        <v>650</v>
      </c>
      <c r="H45">
        <v>3</v>
      </c>
      <c r="I45" t="s">
        <v>21</v>
      </c>
      <c r="J45">
        <v>25</v>
      </c>
      <c r="K45">
        <v>1</v>
      </c>
      <c r="L45">
        <v>290</v>
      </c>
      <c r="M45">
        <v>0.2</v>
      </c>
      <c r="N45">
        <v>100</v>
      </c>
      <c r="O45">
        <v>0.61625969192544583</v>
      </c>
      <c r="P45">
        <v>6.6355183676397996E-7</v>
      </c>
      <c r="Q45">
        <v>25</v>
      </c>
      <c r="R45">
        <v>6.75</v>
      </c>
      <c r="S45">
        <v>0</v>
      </c>
      <c r="T45">
        <v>0</v>
      </c>
      <c r="U45">
        <v>0</v>
      </c>
      <c r="V45">
        <v>0</v>
      </c>
      <c r="W45">
        <v>4.5</v>
      </c>
      <c r="X45">
        <v>0</v>
      </c>
      <c r="Y45">
        <v>1.4999999999999999E-2</v>
      </c>
      <c r="Z45">
        <v>0.2</v>
      </c>
      <c r="AA45">
        <v>0.08</v>
      </c>
      <c r="AB45">
        <v>0.05</v>
      </c>
      <c r="AC45">
        <v>0.4</v>
      </c>
    </row>
    <row r="46" spans="1:29" x14ac:dyDescent="0.3">
      <c r="A46" t="s">
        <v>7</v>
      </c>
      <c r="B46" t="s">
        <v>14</v>
      </c>
      <c r="C46" t="s">
        <v>9</v>
      </c>
      <c r="D46">
        <v>25</v>
      </c>
      <c r="E46">
        <v>76</v>
      </c>
      <c r="F46">
        <v>1</v>
      </c>
      <c r="G46">
        <v>700</v>
      </c>
      <c r="H46">
        <v>1</v>
      </c>
      <c r="I46" t="s">
        <v>21</v>
      </c>
      <c r="J46">
        <v>25</v>
      </c>
      <c r="K46">
        <v>1</v>
      </c>
      <c r="L46">
        <v>290</v>
      </c>
      <c r="M46">
        <v>-1</v>
      </c>
      <c r="N46">
        <v>88</v>
      </c>
      <c r="O46">
        <v>0.61625969192544583</v>
      </c>
      <c r="P46">
        <v>6.6075853841333952E-7</v>
      </c>
      <c r="Q46">
        <v>25</v>
      </c>
      <c r="R46">
        <v>6.75</v>
      </c>
      <c r="S46">
        <v>0</v>
      </c>
      <c r="T46">
        <v>0</v>
      </c>
      <c r="U46">
        <v>0</v>
      </c>
      <c r="V46">
        <v>0</v>
      </c>
      <c r="W46">
        <v>4.5</v>
      </c>
      <c r="X46">
        <v>0</v>
      </c>
      <c r="Y46">
        <v>1.4999999999999999E-2</v>
      </c>
      <c r="Z46">
        <v>0.2</v>
      </c>
      <c r="AA46">
        <v>0.08</v>
      </c>
      <c r="AB46">
        <v>0.05</v>
      </c>
      <c r="AC46">
        <v>0.4</v>
      </c>
    </row>
    <row r="47" spans="1:29" x14ac:dyDescent="0.3">
      <c r="A47" t="s">
        <v>7</v>
      </c>
      <c r="B47" t="s">
        <v>8</v>
      </c>
      <c r="C47" t="s">
        <v>9</v>
      </c>
      <c r="D47">
        <v>25</v>
      </c>
      <c r="E47">
        <v>76</v>
      </c>
      <c r="F47">
        <v>1</v>
      </c>
      <c r="G47">
        <v>710</v>
      </c>
      <c r="H47">
        <v>2</v>
      </c>
      <c r="I47" t="s">
        <v>21</v>
      </c>
      <c r="J47">
        <v>25</v>
      </c>
      <c r="K47">
        <v>1</v>
      </c>
      <c r="L47">
        <v>38</v>
      </c>
      <c r="M47">
        <v>0.1</v>
      </c>
      <c r="N47">
        <v>430</v>
      </c>
      <c r="O47">
        <v>0.61625969192544583</v>
      </c>
      <c r="P47">
        <v>6.9627261559342036E-7</v>
      </c>
      <c r="Q47">
        <v>25</v>
      </c>
      <c r="R47">
        <v>6.75</v>
      </c>
      <c r="S47">
        <v>0</v>
      </c>
      <c r="T47">
        <v>0</v>
      </c>
      <c r="U47">
        <v>0</v>
      </c>
      <c r="V47">
        <v>0</v>
      </c>
      <c r="W47">
        <v>4.5</v>
      </c>
      <c r="X47">
        <v>0</v>
      </c>
      <c r="Y47">
        <v>1.4999999999999999E-2</v>
      </c>
      <c r="Z47">
        <v>0.2</v>
      </c>
      <c r="AA47">
        <v>0.08</v>
      </c>
      <c r="AB47">
        <v>0.05</v>
      </c>
      <c r="AC47">
        <v>0.4</v>
      </c>
    </row>
    <row r="48" spans="1:29" x14ac:dyDescent="0.3">
      <c r="A48" t="s">
        <v>7</v>
      </c>
      <c r="B48" t="s">
        <v>8</v>
      </c>
      <c r="C48" t="s">
        <v>6</v>
      </c>
      <c r="D48">
        <v>25</v>
      </c>
      <c r="E48">
        <v>76</v>
      </c>
      <c r="F48">
        <v>2</v>
      </c>
      <c r="G48">
        <v>25</v>
      </c>
      <c r="H48">
        <v>1</v>
      </c>
      <c r="I48" t="s">
        <v>21</v>
      </c>
      <c r="J48">
        <v>25</v>
      </c>
      <c r="K48">
        <v>1</v>
      </c>
      <c r="L48">
        <v>26</v>
      </c>
      <c r="M48">
        <v>0.1</v>
      </c>
      <c r="N48">
        <v>400</v>
      </c>
      <c r="O48">
        <v>0.61625969192544583</v>
      </c>
      <c r="P48">
        <v>6.9461288534764957E-7</v>
      </c>
      <c r="Q48">
        <v>25</v>
      </c>
      <c r="R48">
        <v>6.75</v>
      </c>
      <c r="S48">
        <v>0</v>
      </c>
      <c r="T48">
        <v>0</v>
      </c>
      <c r="U48">
        <v>0</v>
      </c>
      <c r="V48">
        <v>0</v>
      </c>
      <c r="W48">
        <v>4.5</v>
      </c>
      <c r="X48">
        <v>0</v>
      </c>
      <c r="Y48">
        <v>1.4999999999999999E-2</v>
      </c>
      <c r="Z48">
        <v>0.2</v>
      </c>
      <c r="AA48">
        <v>0.08</v>
      </c>
      <c r="AB48">
        <v>0.05</v>
      </c>
      <c r="AC48">
        <v>0.4</v>
      </c>
    </row>
    <row r="49" spans="1:29" x14ac:dyDescent="0.3">
      <c r="A49" t="s">
        <v>7</v>
      </c>
      <c r="B49" t="s">
        <v>8</v>
      </c>
      <c r="C49" t="s">
        <v>6</v>
      </c>
      <c r="D49">
        <v>25</v>
      </c>
      <c r="E49">
        <v>76</v>
      </c>
      <c r="F49">
        <v>2</v>
      </c>
      <c r="G49">
        <v>25</v>
      </c>
      <c r="H49">
        <v>1</v>
      </c>
      <c r="I49" t="s">
        <v>21</v>
      </c>
      <c r="J49">
        <v>25</v>
      </c>
      <c r="K49">
        <v>1</v>
      </c>
      <c r="L49">
        <v>26</v>
      </c>
      <c r="M49">
        <v>0.1</v>
      </c>
      <c r="N49">
        <v>500</v>
      </c>
      <c r="O49">
        <v>0.61625969192544583</v>
      </c>
      <c r="P49">
        <v>6.9974671095948523E-7</v>
      </c>
      <c r="Q49">
        <v>25</v>
      </c>
      <c r="R49">
        <v>6.75</v>
      </c>
      <c r="S49">
        <v>0</v>
      </c>
      <c r="T49">
        <v>0</v>
      </c>
      <c r="U49">
        <v>0</v>
      </c>
      <c r="V49">
        <v>0</v>
      </c>
      <c r="W49">
        <v>4.5</v>
      </c>
      <c r="X49">
        <v>0</v>
      </c>
      <c r="Y49">
        <v>1.4999999999999999E-2</v>
      </c>
      <c r="Z49">
        <v>0.2</v>
      </c>
      <c r="AA49">
        <v>0.08</v>
      </c>
      <c r="AB49">
        <v>0.05</v>
      </c>
      <c r="AC49">
        <v>0.4</v>
      </c>
    </row>
    <row r="50" spans="1:29" x14ac:dyDescent="0.3">
      <c r="A50" t="s">
        <v>7</v>
      </c>
      <c r="B50" t="s">
        <v>14</v>
      </c>
      <c r="C50" t="s">
        <v>9</v>
      </c>
      <c r="D50">
        <v>25</v>
      </c>
      <c r="E50">
        <v>76</v>
      </c>
      <c r="F50">
        <v>2</v>
      </c>
      <c r="G50">
        <v>700</v>
      </c>
      <c r="H50">
        <v>1</v>
      </c>
      <c r="I50" t="s">
        <v>21</v>
      </c>
      <c r="J50">
        <v>25</v>
      </c>
      <c r="K50">
        <v>1</v>
      </c>
      <c r="L50">
        <v>32</v>
      </c>
      <c r="M50">
        <v>-1</v>
      </c>
      <c r="N50">
        <v>88</v>
      </c>
      <c r="O50">
        <v>0.61179755234275957</v>
      </c>
      <c r="P50">
        <v>6.6075853841333952E-7</v>
      </c>
      <c r="Q50">
        <v>25</v>
      </c>
      <c r="R50">
        <v>6.75</v>
      </c>
      <c r="S50">
        <v>0</v>
      </c>
      <c r="T50">
        <v>0</v>
      </c>
      <c r="U50">
        <v>0</v>
      </c>
      <c r="V50">
        <v>0</v>
      </c>
      <c r="W50">
        <v>4.5</v>
      </c>
      <c r="X50">
        <v>0</v>
      </c>
      <c r="Y50">
        <v>1.4999999999999999E-2</v>
      </c>
      <c r="Z50">
        <v>0.2</v>
      </c>
      <c r="AA50">
        <v>0.08</v>
      </c>
      <c r="AB50">
        <v>0.05</v>
      </c>
      <c r="AC50">
        <v>0.4</v>
      </c>
    </row>
    <row r="51" spans="1:29" x14ac:dyDescent="0.3">
      <c r="A51" t="s">
        <v>7</v>
      </c>
      <c r="B51" t="s">
        <v>8</v>
      </c>
      <c r="C51" t="s">
        <v>9</v>
      </c>
      <c r="D51">
        <v>25</v>
      </c>
      <c r="E51">
        <v>76</v>
      </c>
      <c r="F51">
        <v>2</v>
      </c>
      <c r="G51">
        <v>800</v>
      </c>
      <c r="H51">
        <v>2</v>
      </c>
      <c r="I51" t="s">
        <v>21</v>
      </c>
      <c r="J51">
        <v>25</v>
      </c>
      <c r="K51">
        <v>1</v>
      </c>
      <c r="L51">
        <v>32</v>
      </c>
      <c r="M51">
        <v>-1</v>
      </c>
      <c r="N51">
        <v>250</v>
      </c>
      <c r="O51">
        <v>0.61625969192544583</v>
      </c>
      <c r="P51">
        <v>6.8392247538457671E-7</v>
      </c>
      <c r="Q51">
        <v>25</v>
      </c>
      <c r="R51">
        <v>6.75</v>
      </c>
      <c r="S51">
        <v>0</v>
      </c>
      <c r="T51">
        <v>0</v>
      </c>
      <c r="U51">
        <v>0</v>
      </c>
      <c r="V51">
        <v>0</v>
      </c>
      <c r="W51">
        <v>4.5</v>
      </c>
      <c r="X51">
        <v>0</v>
      </c>
      <c r="Y51">
        <v>1.4999999999999999E-2</v>
      </c>
      <c r="Z51">
        <v>0.2</v>
      </c>
      <c r="AA51">
        <v>0.08</v>
      </c>
      <c r="AB51">
        <v>0.05</v>
      </c>
      <c r="AC51">
        <v>0.4</v>
      </c>
    </row>
    <row r="52" spans="1:29" x14ac:dyDescent="0.3">
      <c r="A52" t="s">
        <v>7</v>
      </c>
      <c r="B52" t="s">
        <v>8</v>
      </c>
      <c r="C52" t="s">
        <v>13</v>
      </c>
      <c r="D52">
        <v>920</v>
      </c>
      <c r="E52">
        <v>100</v>
      </c>
      <c r="F52">
        <v>2</v>
      </c>
      <c r="G52">
        <v>25</v>
      </c>
      <c r="H52">
        <v>1</v>
      </c>
      <c r="I52" t="s">
        <v>21</v>
      </c>
      <c r="J52">
        <v>25</v>
      </c>
      <c r="K52">
        <v>1</v>
      </c>
      <c r="L52">
        <v>32</v>
      </c>
      <c r="M52">
        <v>-1</v>
      </c>
      <c r="N52">
        <v>420</v>
      </c>
      <c r="O52">
        <v>0.61625969192544583</v>
      </c>
      <c r="P52">
        <v>6.957321652998617E-7</v>
      </c>
      <c r="Q52">
        <v>25</v>
      </c>
      <c r="R52">
        <v>6.75</v>
      </c>
      <c r="S52">
        <v>0</v>
      </c>
      <c r="T52">
        <v>0</v>
      </c>
      <c r="U52">
        <v>0</v>
      </c>
      <c r="V52">
        <v>0</v>
      </c>
      <c r="W52">
        <v>4.5</v>
      </c>
      <c r="X52">
        <v>0</v>
      </c>
      <c r="Y52">
        <v>1.4999999999999999E-2</v>
      </c>
      <c r="Z52">
        <v>0.2</v>
      </c>
      <c r="AA52">
        <v>0.08</v>
      </c>
      <c r="AB52">
        <v>0.05</v>
      </c>
      <c r="AC52">
        <v>0.4</v>
      </c>
    </row>
    <row r="53" spans="1:29" x14ac:dyDescent="0.3">
      <c r="A53" t="s">
        <v>7</v>
      </c>
      <c r="B53" t="s">
        <v>16</v>
      </c>
      <c r="C53" t="s">
        <v>6</v>
      </c>
      <c r="D53">
        <v>25</v>
      </c>
      <c r="E53">
        <v>76</v>
      </c>
      <c r="F53">
        <v>2</v>
      </c>
      <c r="G53">
        <v>25</v>
      </c>
      <c r="H53">
        <v>1</v>
      </c>
      <c r="I53" t="s">
        <v>21</v>
      </c>
      <c r="J53">
        <v>25</v>
      </c>
      <c r="K53">
        <v>1</v>
      </c>
      <c r="L53">
        <v>32</v>
      </c>
      <c r="M53">
        <v>-1</v>
      </c>
      <c r="N53">
        <v>410</v>
      </c>
      <c r="O53">
        <v>0.61625969192544583</v>
      </c>
      <c r="P53">
        <v>6.951791256455108E-7</v>
      </c>
      <c r="Q53">
        <v>25</v>
      </c>
      <c r="R53">
        <v>6.75</v>
      </c>
      <c r="S53">
        <v>0</v>
      </c>
      <c r="T53">
        <v>0</v>
      </c>
      <c r="U53">
        <v>0</v>
      </c>
      <c r="V53">
        <v>0</v>
      </c>
      <c r="W53">
        <v>4.5</v>
      </c>
      <c r="X53">
        <v>0</v>
      </c>
      <c r="Y53">
        <v>1.4999999999999999E-2</v>
      </c>
      <c r="Z53">
        <v>0.2</v>
      </c>
      <c r="AA53">
        <v>0.08</v>
      </c>
      <c r="AB53">
        <v>0.05</v>
      </c>
      <c r="AC53">
        <v>0.4</v>
      </c>
    </row>
    <row r="54" spans="1:29" x14ac:dyDescent="0.3">
      <c r="A54" t="s">
        <v>7</v>
      </c>
      <c r="B54" t="s">
        <v>8</v>
      </c>
      <c r="C54" t="s">
        <v>17</v>
      </c>
      <c r="D54">
        <v>920</v>
      </c>
      <c r="E54">
        <v>100</v>
      </c>
      <c r="F54">
        <v>2</v>
      </c>
      <c r="G54">
        <v>800</v>
      </c>
      <c r="H54">
        <v>2</v>
      </c>
      <c r="I54" t="s">
        <v>21</v>
      </c>
      <c r="J54">
        <v>25</v>
      </c>
      <c r="K54">
        <v>1</v>
      </c>
      <c r="L54">
        <v>32</v>
      </c>
      <c r="M54">
        <v>-1</v>
      </c>
      <c r="N54">
        <v>200</v>
      </c>
      <c r="O54">
        <v>0.61625969192544583</v>
      </c>
      <c r="P54">
        <v>6.7890474730433336E-7</v>
      </c>
      <c r="Q54">
        <v>25</v>
      </c>
      <c r="R54">
        <v>6.75</v>
      </c>
      <c r="S54">
        <v>0</v>
      </c>
      <c r="T54">
        <v>0</v>
      </c>
      <c r="U54">
        <v>0</v>
      </c>
      <c r="V54">
        <v>0</v>
      </c>
      <c r="W54">
        <v>4.5</v>
      </c>
      <c r="X54">
        <v>0</v>
      </c>
      <c r="Y54">
        <v>1.4999999999999999E-2</v>
      </c>
      <c r="Z54">
        <v>0.2</v>
      </c>
      <c r="AA54">
        <v>0.08</v>
      </c>
      <c r="AB54">
        <v>0.05</v>
      </c>
      <c r="AC54">
        <v>0.4</v>
      </c>
    </row>
    <row r="55" spans="1:29" x14ac:dyDescent="0.3">
      <c r="A55" t="s">
        <v>7</v>
      </c>
      <c r="B55" t="s">
        <v>8</v>
      </c>
      <c r="C55" t="s">
        <v>18</v>
      </c>
      <c r="D55">
        <v>920</v>
      </c>
      <c r="E55">
        <v>100</v>
      </c>
      <c r="F55">
        <v>2</v>
      </c>
      <c r="G55">
        <v>800</v>
      </c>
      <c r="H55">
        <v>2</v>
      </c>
      <c r="I55" t="s">
        <v>21</v>
      </c>
      <c r="J55">
        <v>25</v>
      </c>
      <c r="K55">
        <v>1</v>
      </c>
      <c r="L55">
        <v>32</v>
      </c>
      <c r="M55">
        <v>-1</v>
      </c>
      <c r="N55">
        <v>350</v>
      </c>
      <c r="O55">
        <v>0.61625969192544583</v>
      </c>
      <c r="P55">
        <v>6.9155878264107028E-7</v>
      </c>
      <c r="Q55">
        <v>25</v>
      </c>
      <c r="R55">
        <v>6.75</v>
      </c>
      <c r="S55">
        <v>0</v>
      </c>
      <c r="T55">
        <v>0</v>
      </c>
      <c r="U55">
        <v>0</v>
      </c>
      <c r="V55">
        <v>0</v>
      </c>
      <c r="W55">
        <v>4.5</v>
      </c>
      <c r="X55">
        <v>0</v>
      </c>
      <c r="Y55">
        <v>1.4999999999999999E-2</v>
      </c>
      <c r="Z55">
        <v>0.2</v>
      </c>
      <c r="AA55">
        <v>0.08</v>
      </c>
      <c r="AB55">
        <v>0.05</v>
      </c>
      <c r="AC55">
        <v>0.4</v>
      </c>
    </row>
    <row r="56" spans="1:29" x14ac:dyDescent="0.3">
      <c r="A56" t="s">
        <v>7</v>
      </c>
      <c r="B56" t="s">
        <v>8</v>
      </c>
      <c r="C56" t="s">
        <v>6</v>
      </c>
      <c r="D56">
        <v>25</v>
      </c>
      <c r="E56">
        <v>76</v>
      </c>
      <c r="F56">
        <v>2</v>
      </c>
      <c r="G56">
        <v>25</v>
      </c>
      <c r="H56">
        <v>1</v>
      </c>
      <c r="I56" t="s">
        <v>21</v>
      </c>
      <c r="J56">
        <v>25</v>
      </c>
      <c r="K56">
        <v>1</v>
      </c>
      <c r="L56">
        <v>32</v>
      </c>
      <c r="M56">
        <v>0.1</v>
      </c>
      <c r="N56">
        <v>100</v>
      </c>
      <c r="O56">
        <v>0.61625969192544583</v>
      </c>
      <c r="P56">
        <v>6.6355183676397996E-7</v>
      </c>
      <c r="Q56">
        <v>25</v>
      </c>
      <c r="R56">
        <v>6.75</v>
      </c>
      <c r="S56">
        <v>0</v>
      </c>
      <c r="T56">
        <v>0</v>
      </c>
      <c r="U56">
        <v>0</v>
      </c>
      <c r="V56">
        <v>0</v>
      </c>
      <c r="W56">
        <v>4.5</v>
      </c>
      <c r="X56">
        <v>0</v>
      </c>
      <c r="Y56">
        <v>1.4999999999999999E-2</v>
      </c>
      <c r="Z56">
        <v>0.2</v>
      </c>
      <c r="AA56">
        <v>0.08</v>
      </c>
      <c r="AB56">
        <v>0.05</v>
      </c>
      <c r="AC56">
        <v>0.4</v>
      </c>
    </row>
    <row r="57" spans="1:29" x14ac:dyDescent="0.3">
      <c r="A57" t="s">
        <v>7</v>
      </c>
      <c r="B57" t="s">
        <v>16</v>
      </c>
      <c r="C57" t="s">
        <v>6</v>
      </c>
      <c r="D57">
        <v>25</v>
      </c>
      <c r="E57">
        <v>76</v>
      </c>
      <c r="F57">
        <v>2</v>
      </c>
      <c r="G57">
        <v>25</v>
      </c>
      <c r="H57">
        <v>1</v>
      </c>
      <c r="I57" t="s">
        <v>21</v>
      </c>
      <c r="J57">
        <v>25</v>
      </c>
      <c r="K57">
        <v>1</v>
      </c>
      <c r="L57">
        <v>32</v>
      </c>
      <c r="M57">
        <v>0.1</v>
      </c>
      <c r="N57">
        <v>60</v>
      </c>
      <c r="O57">
        <v>0.61179755234275957</v>
      </c>
      <c r="P57">
        <v>6.5245993263099976E-7</v>
      </c>
      <c r="Q57">
        <v>25</v>
      </c>
      <c r="R57">
        <v>6.75</v>
      </c>
      <c r="S57">
        <v>0</v>
      </c>
      <c r="T57">
        <v>0</v>
      </c>
      <c r="U57">
        <v>0</v>
      </c>
      <c r="V57">
        <v>0</v>
      </c>
      <c r="W57">
        <v>4.5</v>
      </c>
      <c r="X57">
        <v>0</v>
      </c>
      <c r="Y57">
        <v>1.4999999999999999E-2</v>
      </c>
      <c r="Z57">
        <v>0.2</v>
      </c>
      <c r="AA57">
        <v>0.08</v>
      </c>
      <c r="AB57">
        <v>0.05</v>
      </c>
      <c r="AC57">
        <v>0.4</v>
      </c>
    </row>
    <row r="58" spans="1:29" x14ac:dyDescent="0.3">
      <c r="A58" t="s">
        <v>7</v>
      </c>
      <c r="B58" t="s">
        <v>8</v>
      </c>
      <c r="C58" t="s">
        <v>4</v>
      </c>
      <c r="D58">
        <v>25</v>
      </c>
      <c r="E58">
        <v>76</v>
      </c>
      <c r="F58">
        <v>2</v>
      </c>
      <c r="G58">
        <v>920</v>
      </c>
      <c r="H58">
        <v>2</v>
      </c>
      <c r="I58" t="s">
        <v>5</v>
      </c>
      <c r="J58">
        <v>670</v>
      </c>
      <c r="K58">
        <v>4</v>
      </c>
      <c r="L58">
        <v>32</v>
      </c>
      <c r="M58">
        <v>-1</v>
      </c>
      <c r="N58">
        <v>221</v>
      </c>
      <c r="O58">
        <v>0.58169985496347387</v>
      </c>
      <c r="P58">
        <v>6.8114535713845106E-7</v>
      </c>
      <c r="Q58">
        <v>25</v>
      </c>
      <c r="R58">
        <v>6.75</v>
      </c>
      <c r="S58">
        <v>0</v>
      </c>
      <c r="T58">
        <v>0</v>
      </c>
      <c r="U58">
        <v>0</v>
      </c>
      <c r="V58">
        <v>0</v>
      </c>
      <c r="W58">
        <v>4.5</v>
      </c>
      <c r="X58">
        <v>0</v>
      </c>
      <c r="Y58">
        <v>1.4999999999999999E-2</v>
      </c>
      <c r="Z58">
        <v>0.2</v>
      </c>
      <c r="AA58">
        <v>0.08</v>
      </c>
      <c r="AB58">
        <v>0.05</v>
      </c>
      <c r="AC58">
        <v>0.4</v>
      </c>
    </row>
    <row r="59" spans="1:29" x14ac:dyDescent="0.3">
      <c r="A59" t="s">
        <v>7</v>
      </c>
      <c r="B59" t="s">
        <v>11</v>
      </c>
      <c r="C59" t="s">
        <v>9</v>
      </c>
      <c r="D59">
        <v>25</v>
      </c>
      <c r="E59">
        <v>76</v>
      </c>
      <c r="F59">
        <v>2</v>
      </c>
      <c r="G59">
        <v>600</v>
      </c>
      <c r="H59">
        <v>1</v>
      </c>
      <c r="I59" t="s">
        <v>21</v>
      </c>
      <c r="J59">
        <v>25</v>
      </c>
      <c r="K59">
        <v>1</v>
      </c>
      <c r="L59">
        <v>181</v>
      </c>
      <c r="M59">
        <v>0.01</v>
      </c>
      <c r="N59">
        <v>482</v>
      </c>
      <c r="O59">
        <v>0.61625969192544583</v>
      </c>
      <c r="P59">
        <v>6.989005913459576E-7</v>
      </c>
      <c r="Q59">
        <v>25</v>
      </c>
      <c r="R59">
        <v>6.75</v>
      </c>
      <c r="S59">
        <v>0</v>
      </c>
      <c r="T59">
        <v>0</v>
      </c>
      <c r="U59">
        <v>0</v>
      </c>
      <c r="V59">
        <v>0</v>
      </c>
      <c r="W59">
        <v>4.5</v>
      </c>
      <c r="X59">
        <v>0</v>
      </c>
      <c r="Y59">
        <v>1.4999999999999999E-2</v>
      </c>
      <c r="Z59">
        <v>0.2</v>
      </c>
      <c r="AA59">
        <v>0.08</v>
      </c>
      <c r="AB59">
        <v>0.05</v>
      </c>
      <c r="AC59">
        <v>0.4</v>
      </c>
    </row>
    <row r="60" spans="1:29" x14ac:dyDescent="0.3">
      <c r="A60" t="s">
        <v>7</v>
      </c>
      <c r="B60" t="s">
        <v>12</v>
      </c>
      <c r="C60" t="s">
        <v>13</v>
      </c>
      <c r="D60">
        <v>920</v>
      </c>
      <c r="E60">
        <v>103</v>
      </c>
      <c r="F60">
        <v>2</v>
      </c>
      <c r="G60">
        <v>25</v>
      </c>
      <c r="H60">
        <v>1</v>
      </c>
      <c r="I60" t="s">
        <v>21</v>
      </c>
      <c r="J60">
        <v>25</v>
      </c>
      <c r="K60">
        <v>1</v>
      </c>
      <c r="L60">
        <v>181</v>
      </c>
      <c r="M60">
        <v>0.1</v>
      </c>
      <c r="N60">
        <v>155</v>
      </c>
      <c r="O60">
        <v>0.61625969192544583</v>
      </c>
      <c r="P60">
        <v>6.7321812774973763E-7</v>
      </c>
      <c r="Q60">
        <v>25</v>
      </c>
      <c r="R60">
        <v>6.75</v>
      </c>
      <c r="S60">
        <v>0</v>
      </c>
      <c r="T60">
        <v>0</v>
      </c>
      <c r="U60">
        <v>0</v>
      </c>
      <c r="V60">
        <v>0</v>
      </c>
      <c r="W60">
        <v>4.5</v>
      </c>
      <c r="X60">
        <v>0</v>
      </c>
      <c r="Y60">
        <v>1.4999999999999999E-2</v>
      </c>
      <c r="Z60">
        <v>0.2</v>
      </c>
      <c r="AA60">
        <v>0.08</v>
      </c>
      <c r="AB60">
        <v>0.05</v>
      </c>
      <c r="AC60">
        <v>0.4</v>
      </c>
    </row>
    <row r="61" spans="1:29" x14ac:dyDescent="0.3">
      <c r="A61" t="s">
        <v>7</v>
      </c>
      <c r="B61" t="s">
        <v>14</v>
      </c>
      <c r="C61" t="s">
        <v>9</v>
      </c>
      <c r="D61">
        <v>25</v>
      </c>
      <c r="E61">
        <v>76</v>
      </c>
      <c r="F61">
        <v>2</v>
      </c>
      <c r="G61">
        <v>730</v>
      </c>
      <c r="H61">
        <v>2</v>
      </c>
      <c r="I61" t="s">
        <v>21</v>
      </c>
      <c r="J61">
        <v>25</v>
      </c>
      <c r="K61">
        <v>1</v>
      </c>
      <c r="L61">
        <v>181</v>
      </c>
      <c r="M61">
        <v>0.1</v>
      </c>
      <c r="N61">
        <v>265</v>
      </c>
      <c r="O61">
        <v>0.61179755234275957</v>
      </c>
      <c r="P61">
        <v>6.8523883730212022E-7</v>
      </c>
      <c r="Q61">
        <v>25</v>
      </c>
      <c r="R61">
        <v>6.75</v>
      </c>
      <c r="S61">
        <v>0</v>
      </c>
      <c r="T61">
        <v>0</v>
      </c>
      <c r="U61">
        <v>0</v>
      </c>
      <c r="V61">
        <v>0</v>
      </c>
      <c r="W61">
        <v>4.5</v>
      </c>
      <c r="X61">
        <v>0</v>
      </c>
      <c r="Y61">
        <v>1.4999999999999999E-2</v>
      </c>
      <c r="Z61">
        <v>0.2</v>
      </c>
      <c r="AA61">
        <v>0.08</v>
      </c>
      <c r="AB61">
        <v>0.05</v>
      </c>
      <c r="AC61">
        <v>0.4</v>
      </c>
    </row>
    <row r="62" spans="1:29" x14ac:dyDescent="0.3">
      <c r="A62" t="s">
        <v>7</v>
      </c>
      <c r="B62" t="s">
        <v>8</v>
      </c>
      <c r="C62" t="s">
        <v>9</v>
      </c>
      <c r="D62">
        <v>25</v>
      </c>
      <c r="E62">
        <v>76</v>
      </c>
      <c r="F62">
        <v>2</v>
      </c>
      <c r="G62">
        <v>500</v>
      </c>
      <c r="H62">
        <v>2</v>
      </c>
      <c r="I62" t="s">
        <v>21</v>
      </c>
      <c r="J62">
        <v>25</v>
      </c>
      <c r="K62">
        <v>1</v>
      </c>
      <c r="L62">
        <v>181</v>
      </c>
      <c r="M62">
        <v>0.1</v>
      </c>
      <c r="N62">
        <v>430</v>
      </c>
      <c r="O62">
        <v>0.61625969192544583</v>
      </c>
      <c r="P62">
        <v>6.9627261559342036E-7</v>
      </c>
      <c r="Q62">
        <v>25</v>
      </c>
      <c r="R62">
        <v>6.75</v>
      </c>
      <c r="S62">
        <v>0</v>
      </c>
      <c r="T62">
        <v>0</v>
      </c>
      <c r="U62">
        <v>0</v>
      </c>
      <c r="V62">
        <v>0</v>
      </c>
      <c r="W62">
        <v>4.5</v>
      </c>
      <c r="X62">
        <v>0</v>
      </c>
      <c r="Y62">
        <v>1.4999999999999999E-2</v>
      </c>
      <c r="Z62">
        <v>0.2</v>
      </c>
      <c r="AA62">
        <v>0.08</v>
      </c>
      <c r="AB62">
        <v>0.05</v>
      </c>
      <c r="AC62">
        <v>0.4</v>
      </c>
    </row>
    <row r="63" spans="1:29" x14ac:dyDescent="0.3">
      <c r="A63" t="s">
        <v>7</v>
      </c>
      <c r="B63" t="s">
        <v>8</v>
      </c>
      <c r="C63" t="s">
        <v>13</v>
      </c>
      <c r="D63">
        <v>900</v>
      </c>
      <c r="E63">
        <v>120</v>
      </c>
      <c r="F63">
        <v>2</v>
      </c>
      <c r="G63">
        <v>25</v>
      </c>
      <c r="H63">
        <v>1</v>
      </c>
      <c r="I63" t="s">
        <v>21</v>
      </c>
      <c r="J63">
        <v>25</v>
      </c>
      <c r="K63">
        <v>1</v>
      </c>
      <c r="L63">
        <v>181</v>
      </c>
      <c r="M63">
        <v>-1</v>
      </c>
      <c r="N63">
        <v>370</v>
      </c>
      <c r="O63">
        <v>0.61625969192544583</v>
      </c>
      <c r="P63">
        <v>6.9282813016766237E-7</v>
      </c>
      <c r="Q63">
        <v>25</v>
      </c>
      <c r="R63">
        <v>6.75</v>
      </c>
      <c r="S63">
        <v>0</v>
      </c>
      <c r="T63">
        <v>0</v>
      </c>
      <c r="U63">
        <v>0</v>
      </c>
      <c r="V63">
        <v>0</v>
      </c>
      <c r="W63">
        <v>4.5</v>
      </c>
      <c r="X63">
        <v>0</v>
      </c>
      <c r="Y63">
        <v>1.4999999999999999E-2</v>
      </c>
      <c r="Z63">
        <v>0.2</v>
      </c>
      <c r="AA63">
        <v>0.08</v>
      </c>
      <c r="AB63">
        <v>0.05</v>
      </c>
      <c r="AC63">
        <v>0.4</v>
      </c>
    </row>
    <row r="64" spans="1:29" x14ac:dyDescent="0.3">
      <c r="A64" t="s">
        <v>7</v>
      </c>
      <c r="B64" t="s">
        <v>8</v>
      </c>
      <c r="C64" t="s">
        <v>13</v>
      </c>
      <c r="D64">
        <v>900</v>
      </c>
      <c r="E64">
        <v>120</v>
      </c>
      <c r="F64">
        <v>2</v>
      </c>
      <c r="G64">
        <v>25</v>
      </c>
      <c r="H64">
        <v>1</v>
      </c>
      <c r="I64" t="s">
        <v>21</v>
      </c>
      <c r="J64">
        <v>25</v>
      </c>
      <c r="K64">
        <v>1</v>
      </c>
      <c r="L64">
        <v>181</v>
      </c>
      <c r="M64">
        <v>-1</v>
      </c>
      <c r="N64">
        <v>580</v>
      </c>
      <c r="O64">
        <v>0.61625969192544583</v>
      </c>
      <c r="P64">
        <v>7.0318237934689411E-7</v>
      </c>
      <c r="Q64">
        <v>25</v>
      </c>
      <c r="R64">
        <v>6.75</v>
      </c>
      <c r="S64">
        <v>0</v>
      </c>
      <c r="T64">
        <v>0</v>
      </c>
      <c r="U64">
        <v>0</v>
      </c>
      <c r="V64">
        <v>0</v>
      </c>
      <c r="W64">
        <v>4.5</v>
      </c>
      <c r="X64">
        <v>0</v>
      </c>
      <c r="Y64">
        <v>1.4999999999999999E-2</v>
      </c>
      <c r="Z64">
        <v>0.2</v>
      </c>
      <c r="AA64">
        <v>0.08</v>
      </c>
      <c r="AB64">
        <v>0.05</v>
      </c>
      <c r="AC64">
        <v>0.4</v>
      </c>
    </row>
    <row r="65" spans="1:29" x14ac:dyDescent="0.3">
      <c r="A65" t="s">
        <v>7</v>
      </c>
      <c r="B65" t="s">
        <v>14</v>
      </c>
      <c r="C65" t="s">
        <v>9</v>
      </c>
      <c r="D65">
        <v>25</v>
      </c>
      <c r="E65">
        <v>76</v>
      </c>
      <c r="F65">
        <v>2</v>
      </c>
      <c r="G65">
        <v>700</v>
      </c>
      <c r="H65">
        <v>1</v>
      </c>
      <c r="I65" t="s">
        <v>21</v>
      </c>
      <c r="J65">
        <v>25</v>
      </c>
      <c r="K65">
        <v>1</v>
      </c>
      <c r="L65">
        <v>181</v>
      </c>
      <c r="M65">
        <v>0.2</v>
      </c>
      <c r="N65">
        <v>100</v>
      </c>
      <c r="O65">
        <v>0.61179755234275957</v>
      </c>
      <c r="P65">
        <v>6.6355183676397996E-7</v>
      </c>
      <c r="Q65">
        <v>25</v>
      </c>
      <c r="R65">
        <v>6.75</v>
      </c>
      <c r="S65">
        <v>0</v>
      </c>
      <c r="T65">
        <v>0</v>
      </c>
      <c r="U65">
        <v>0</v>
      </c>
      <c r="V65">
        <v>0</v>
      </c>
      <c r="W65">
        <v>4.5</v>
      </c>
      <c r="X65">
        <v>0</v>
      </c>
      <c r="Y65">
        <v>1.4999999999999999E-2</v>
      </c>
      <c r="Z65">
        <v>0.2</v>
      </c>
      <c r="AA65">
        <v>0.08</v>
      </c>
      <c r="AB65">
        <v>0.05</v>
      </c>
      <c r="AC65">
        <v>0.4</v>
      </c>
    </row>
    <row r="66" spans="1:29" x14ac:dyDescent="0.3">
      <c r="A66" t="s">
        <v>7</v>
      </c>
      <c r="B66" t="s">
        <v>8</v>
      </c>
      <c r="C66" t="s">
        <v>9</v>
      </c>
      <c r="D66">
        <v>25</v>
      </c>
      <c r="E66">
        <v>76</v>
      </c>
      <c r="F66">
        <v>2</v>
      </c>
      <c r="G66">
        <v>800</v>
      </c>
      <c r="H66">
        <v>2</v>
      </c>
      <c r="I66" t="s">
        <v>21</v>
      </c>
      <c r="J66">
        <v>25</v>
      </c>
      <c r="K66">
        <v>1</v>
      </c>
      <c r="L66">
        <v>181</v>
      </c>
      <c r="M66">
        <v>-1</v>
      </c>
      <c r="N66">
        <v>88</v>
      </c>
      <c r="O66">
        <v>0.61625969192544583</v>
      </c>
      <c r="P66">
        <v>6.6075853841333952E-7</v>
      </c>
      <c r="Q66">
        <v>25</v>
      </c>
      <c r="R66">
        <v>6.75</v>
      </c>
      <c r="S66">
        <v>0</v>
      </c>
      <c r="T66">
        <v>0</v>
      </c>
      <c r="U66">
        <v>0</v>
      </c>
      <c r="V66">
        <v>0</v>
      </c>
      <c r="W66">
        <v>4.5</v>
      </c>
      <c r="X66">
        <v>0</v>
      </c>
      <c r="Y66">
        <v>1.4999999999999999E-2</v>
      </c>
      <c r="Z66">
        <v>0.2</v>
      </c>
      <c r="AA66">
        <v>0.08</v>
      </c>
      <c r="AB66">
        <v>0.05</v>
      </c>
      <c r="AC66">
        <v>0.4</v>
      </c>
    </row>
    <row r="67" spans="1:29" x14ac:dyDescent="0.3">
      <c r="A67" t="s">
        <v>7</v>
      </c>
      <c r="B67" t="s">
        <v>8</v>
      </c>
      <c r="C67" t="s">
        <v>13</v>
      </c>
      <c r="D67">
        <v>920</v>
      </c>
      <c r="E67">
        <v>100</v>
      </c>
      <c r="F67">
        <v>2</v>
      </c>
      <c r="G67">
        <v>25</v>
      </c>
      <c r="H67">
        <v>1</v>
      </c>
      <c r="I67" t="s">
        <v>21</v>
      </c>
      <c r="J67">
        <v>25</v>
      </c>
      <c r="K67">
        <v>1</v>
      </c>
      <c r="L67">
        <v>181</v>
      </c>
      <c r="M67">
        <v>-1</v>
      </c>
      <c r="N67">
        <v>250</v>
      </c>
      <c r="O67">
        <v>0.73537358108759721</v>
      </c>
      <c r="P67">
        <v>6.8392247538457671E-7</v>
      </c>
      <c r="Q67">
        <v>25</v>
      </c>
      <c r="R67">
        <v>6.75</v>
      </c>
      <c r="S67">
        <v>0</v>
      </c>
      <c r="T67">
        <v>0</v>
      </c>
      <c r="U67">
        <v>0</v>
      </c>
      <c r="V67">
        <v>0</v>
      </c>
      <c r="W67">
        <v>4.5</v>
      </c>
      <c r="X67">
        <v>0</v>
      </c>
      <c r="Y67">
        <v>1.4999999999999999E-2</v>
      </c>
      <c r="Z67">
        <v>0.2</v>
      </c>
      <c r="AA67">
        <v>0.08</v>
      </c>
      <c r="AB67">
        <v>0.05</v>
      </c>
      <c r="AC67">
        <v>0.4</v>
      </c>
    </row>
    <row r="68" spans="1:29" x14ac:dyDescent="0.3">
      <c r="A68" t="s">
        <v>7</v>
      </c>
      <c r="B68" t="s">
        <v>8</v>
      </c>
      <c r="C68" t="s">
        <v>4</v>
      </c>
      <c r="D68">
        <v>25</v>
      </c>
      <c r="E68">
        <v>76</v>
      </c>
      <c r="F68">
        <v>2</v>
      </c>
      <c r="G68">
        <v>920</v>
      </c>
      <c r="H68">
        <v>2</v>
      </c>
      <c r="I68" t="s">
        <v>5</v>
      </c>
      <c r="J68">
        <v>670</v>
      </c>
      <c r="K68">
        <v>4</v>
      </c>
      <c r="L68">
        <v>75</v>
      </c>
      <c r="M68">
        <v>-1</v>
      </c>
      <c r="N68">
        <v>590</v>
      </c>
      <c r="O68">
        <v>0.5859424772788725</v>
      </c>
      <c r="P68">
        <v>7.0357916789648109E-7</v>
      </c>
      <c r="Q68">
        <v>25</v>
      </c>
      <c r="R68">
        <v>6.75</v>
      </c>
      <c r="S68">
        <v>0</v>
      </c>
      <c r="T68">
        <v>0</v>
      </c>
      <c r="U68">
        <v>0</v>
      </c>
      <c r="V68">
        <v>0</v>
      </c>
      <c r="W68">
        <v>4.5</v>
      </c>
      <c r="X68">
        <v>0</v>
      </c>
      <c r="Y68">
        <v>1.4999999999999999E-2</v>
      </c>
      <c r="Z68">
        <v>0.2</v>
      </c>
      <c r="AA68">
        <v>0.08</v>
      </c>
      <c r="AB68">
        <v>0.05</v>
      </c>
      <c r="AC68">
        <v>0.4</v>
      </c>
    </row>
    <row r="69" spans="1:29" x14ac:dyDescent="0.3">
      <c r="A69" t="s">
        <v>7</v>
      </c>
      <c r="B69" t="s">
        <v>10</v>
      </c>
      <c r="C69" t="s">
        <v>6</v>
      </c>
      <c r="D69">
        <v>25</v>
      </c>
      <c r="E69">
        <v>76</v>
      </c>
      <c r="F69">
        <v>2</v>
      </c>
      <c r="G69">
        <v>25</v>
      </c>
      <c r="H69">
        <v>1</v>
      </c>
      <c r="I69" t="s">
        <v>21</v>
      </c>
      <c r="J69">
        <v>25</v>
      </c>
      <c r="K69">
        <v>1</v>
      </c>
      <c r="L69">
        <v>75</v>
      </c>
      <c r="M69">
        <v>-1</v>
      </c>
      <c r="N69">
        <v>590</v>
      </c>
      <c r="O69">
        <v>0.61625969192544583</v>
      </c>
      <c r="P69">
        <v>7.0357916789648109E-7</v>
      </c>
      <c r="Q69">
        <v>25</v>
      </c>
      <c r="R69">
        <v>6.75</v>
      </c>
      <c r="S69">
        <v>0</v>
      </c>
      <c r="T69">
        <v>0</v>
      </c>
      <c r="U69">
        <v>0</v>
      </c>
      <c r="V69">
        <v>0</v>
      </c>
      <c r="W69">
        <v>4.5</v>
      </c>
      <c r="X69">
        <v>0</v>
      </c>
      <c r="Y69">
        <v>1.4999999999999999E-2</v>
      </c>
      <c r="Z69">
        <v>0.2</v>
      </c>
      <c r="AA69">
        <v>0.08</v>
      </c>
      <c r="AB69">
        <v>0.05</v>
      </c>
      <c r="AC69">
        <v>0.4</v>
      </c>
    </row>
    <row r="70" spans="1:29" x14ac:dyDescent="0.3">
      <c r="A70" t="s">
        <v>7</v>
      </c>
      <c r="B70" t="s">
        <v>11</v>
      </c>
      <c r="C70" t="s">
        <v>9</v>
      </c>
      <c r="D70">
        <v>25</v>
      </c>
      <c r="E70">
        <v>76</v>
      </c>
      <c r="F70">
        <v>1</v>
      </c>
      <c r="G70">
        <v>600</v>
      </c>
      <c r="H70">
        <v>1</v>
      </c>
      <c r="I70" t="s">
        <v>21</v>
      </c>
      <c r="J70">
        <v>25</v>
      </c>
      <c r="K70">
        <v>1</v>
      </c>
      <c r="L70">
        <v>75</v>
      </c>
      <c r="M70">
        <v>-1</v>
      </c>
      <c r="N70">
        <v>590</v>
      </c>
      <c r="O70">
        <v>0.61625969192544583</v>
      </c>
      <c r="P70">
        <v>7.0357916789648109E-7</v>
      </c>
      <c r="Q70">
        <v>25</v>
      </c>
      <c r="R70">
        <v>6.75</v>
      </c>
      <c r="S70">
        <v>0</v>
      </c>
      <c r="T70">
        <v>0</v>
      </c>
      <c r="U70">
        <v>0</v>
      </c>
      <c r="V70">
        <v>0</v>
      </c>
      <c r="W70">
        <v>4.5</v>
      </c>
      <c r="X70">
        <v>0</v>
      </c>
      <c r="Y70">
        <v>1.4999999999999999E-2</v>
      </c>
      <c r="Z70">
        <v>0.2</v>
      </c>
      <c r="AA70">
        <v>0.08</v>
      </c>
      <c r="AB70">
        <v>0.05</v>
      </c>
      <c r="AC70">
        <v>0.4</v>
      </c>
    </row>
    <row r="71" spans="1:29" x14ac:dyDescent="0.3">
      <c r="A71" t="s">
        <v>7</v>
      </c>
      <c r="B71" t="s">
        <v>12</v>
      </c>
      <c r="C71" t="s">
        <v>13</v>
      </c>
      <c r="D71">
        <v>920</v>
      </c>
      <c r="E71">
        <v>103</v>
      </c>
      <c r="F71">
        <v>2</v>
      </c>
      <c r="G71">
        <v>25</v>
      </c>
      <c r="H71">
        <v>1</v>
      </c>
      <c r="I71" t="s">
        <v>21</v>
      </c>
      <c r="J71">
        <v>25</v>
      </c>
      <c r="K71">
        <v>1</v>
      </c>
      <c r="L71">
        <v>75</v>
      </c>
      <c r="M71">
        <v>-1</v>
      </c>
      <c r="N71">
        <v>590</v>
      </c>
      <c r="O71">
        <v>0.61625969192544583</v>
      </c>
      <c r="P71">
        <v>7.0357916789648109E-7</v>
      </c>
      <c r="Q71">
        <v>25</v>
      </c>
      <c r="R71">
        <v>6.75</v>
      </c>
      <c r="S71">
        <v>0</v>
      </c>
      <c r="T71">
        <v>0</v>
      </c>
      <c r="U71">
        <v>0</v>
      </c>
      <c r="V71">
        <v>0</v>
      </c>
      <c r="W71">
        <v>4.5</v>
      </c>
      <c r="X71">
        <v>0</v>
      </c>
      <c r="Y71">
        <v>1.4999999999999999E-2</v>
      </c>
      <c r="Z71">
        <v>0.2</v>
      </c>
      <c r="AA71">
        <v>0.08</v>
      </c>
      <c r="AB71">
        <v>0.05</v>
      </c>
      <c r="AC71">
        <v>0.4</v>
      </c>
    </row>
    <row r="72" spans="1:29" x14ac:dyDescent="0.3">
      <c r="A72" t="s">
        <v>7</v>
      </c>
      <c r="B72" t="s">
        <v>14</v>
      </c>
      <c r="C72" t="s">
        <v>9</v>
      </c>
      <c r="D72">
        <v>25</v>
      </c>
      <c r="E72">
        <v>76</v>
      </c>
      <c r="F72">
        <v>1</v>
      </c>
      <c r="G72">
        <v>730</v>
      </c>
      <c r="H72">
        <v>2</v>
      </c>
      <c r="I72" t="s">
        <v>21</v>
      </c>
      <c r="J72">
        <v>25</v>
      </c>
      <c r="K72">
        <v>1</v>
      </c>
      <c r="L72">
        <v>75</v>
      </c>
      <c r="M72">
        <v>-1</v>
      </c>
      <c r="N72">
        <v>590</v>
      </c>
      <c r="O72">
        <v>0.61625969192544583</v>
      </c>
      <c r="P72">
        <v>7.0357916789648109E-7</v>
      </c>
      <c r="Q72">
        <v>25</v>
      </c>
      <c r="R72">
        <v>6.75</v>
      </c>
      <c r="S72">
        <v>0</v>
      </c>
      <c r="T72">
        <v>0</v>
      </c>
      <c r="U72">
        <v>0</v>
      </c>
      <c r="V72">
        <v>0</v>
      </c>
      <c r="W72">
        <v>4.5</v>
      </c>
      <c r="X72">
        <v>0</v>
      </c>
      <c r="Y72">
        <v>1.4999999999999999E-2</v>
      </c>
      <c r="Z72">
        <v>0.2</v>
      </c>
      <c r="AA72">
        <v>0.08</v>
      </c>
      <c r="AB72">
        <v>0.05</v>
      </c>
      <c r="AC72">
        <v>0.4</v>
      </c>
    </row>
    <row r="73" spans="1:29" x14ac:dyDescent="0.3">
      <c r="A73" t="s">
        <v>7</v>
      </c>
      <c r="B73" t="s">
        <v>8</v>
      </c>
      <c r="C73" t="s">
        <v>9</v>
      </c>
      <c r="D73">
        <v>25</v>
      </c>
      <c r="E73">
        <v>76</v>
      </c>
      <c r="F73">
        <v>1</v>
      </c>
      <c r="G73">
        <v>500</v>
      </c>
      <c r="H73">
        <v>2</v>
      </c>
      <c r="I73" t="s">
        <v>21</v>
      </c>
      <c r="J73">
        <v>25</v>
      </c>
      <c r="K73">
        <v>1</v>
      </c>
      <c r="L73">
        <v>75</v>
      </c>
      <c r="M73">
        <v>-1</v>
      </c>
      <c r="N73">
        <v>590</v>
      </c>
      <c r="O73">
        <v>0.61179755234275957</v>
      </c>
      <c r="P73">
        <v>7.0357916789648109E-7</v>
      </c>
      <c r="Q73">
        <v>25</v>
      </c>
      <c r="R73">
        <v>6.75</v>
      </c>
      <c r="S73">
        <v>0</v>
      </c>
      <c r="T73">
        <v>0</v>
      </c>
      <c r="U73">
        <v>0</v>
      </c>
      <c r="V73">
        <v>0</v>
      </c>
      <c r="W73">
        <v>4.5</v>
      </c>
      <c r="X73">
        <v>0</v>
      </c>
      <c r="Y73">
        <v>1.4999999999999999E-2</v>
      </c>
      <c r="Z73">
        <v>0.2</v>
      </c>
      <c r="AA73">
        <v>0.08</v>
      </c>
      <c r="AB73">
        <v>0.05</v>
      </c>
      <c r="AC73">
        <v>0.4</v>
      </c>
    </row>
    <row r="74" spans="1:29" x14ac:dyDescent="0.3">
      <c r="A74" t="s">
        <v>7</v>
      </c>
      <c r="B74" t="s">
        <v>8</v>
      </c>
      <c r="C74" t="s">
        <v>13</v>
      </c>
      <c r="D74">
        <v>900</v>
      </c>
      <c r="E74">
        <v>120</v>
      </c>
      <c r="F74">
        <v>2</v>
      </c>
      <c r="G74">
        <v>25</v>
      </c>
      <c r="H74">
        <v>1</v>
      </c>
      <c r="I74" t="s">
        <v>21</v>
      </c>
      <c r="J74">
        <v>25</v>
      </c>
      <c r="K74">
        <v>1</v>
      </c>
      <c r="L74">
        <v>75</v>
      </c>
      <c r="M74">
        <v>-1</v>
      </c>
      <c r="N74">
        <v>590</v>
      </c>
      <c r="O74">
        <v>0.61625969192544583</v>
      </c>
      <c r="P74">
        <v>7.0357916789648109E-7</v>
      </c>
      <c r="Q74">
        <v>25</v>
      </c>
      <c r="R74">
        <v>6.75</v>
      </c>
      <c r="S74">
        <v>0</v>
      </c>
      <c r="T74">
        <v>0</v>
      </c>
      <c r="U74">
        <v>0</v>
      </c>
      <c r="V74">
        <v>0</v>
      </c>
      <c r="W74">
        <v>4.5</v>
      </c>
      <c r="X74">
        <v>0</v>
      </c>
      <c r="Y74">
        <v>1.4999999999999999E-2</v>
      </c>
      <c r="Z74">
        <v>0.2</v>
      </c>
      <c r="AA74">
        <v>0.08</v>
      </c>
      <c r="AB74">
        <v>0.05</v>
      </c>
      <c r="AC74">
        <v>0.4</v>
      </c>
    </row>
    <row r="75" spans="1:29" x14ac:dyDescent="0.3">
      <c r="A75" t="s">
        <v>7</v>
      </c>
      <c r="B75" t="s">
        <v>8</v>
      </c>
      <c r="C75" t="s">
        <v>13</v>
      </c>
      <c r="D75">
        <v>900</v>
      </c>
      <c r="E75">
        <v>120</v>
      </c>
      <c r="F75">
        <v>2</v>
      </c>
      <c r="G75">
        <v>25</v>
      </c>
      <c r="H75">
        <v>1</v>
      </c>
      <c r="I75" t="s">
        <v>21</v>
      </c>
      <c r="J75">
        <v>25</v>
      </c>
      <c r="K75">
        <v>1</v>
      </c>
      <c r="L75">
        <v>75</v>
      </c>
      <c r="M75">
        <v>-1</v>
      </c>
      <c r="N75">
        <v>590</v>
      </c>
      <c r="O75">
        <v>0.61625969192544583</v>
      </c>
      <c r="P75">
        <v>7.0357916789648109E-7</v>
      </c>
      <c r="Q75">
        <v>25</v>
      </c>
      <c r="R75">
        <v>6.75</v>
      </c>
      <c r="S75">
        <v>0</v>
      </c>
      <c r="T75">
        <v>0</v>
      </c>
      <c r="U75">
        <v>0</v>
      </c>
      <c r="V75">
        <v>0</v>
      </c>
      <c r="W75">
        <v>4.5</v>
      </c>
      <c r="X75">
        <v>0</v>
      </c>
      <c r="Y75">
        <v>1.4999999999999999E-2</v>
      </c>
      <c r="Z75">
        <v>0.2</v>
      </c>
      <c r="AA75">
        <v>0.08</v>
      </c>
      <c r="AB75">
        <v>0.05</v>
      </c>
      <c r="AC75">
        <v>0.4</v>
      </c>
    </row>
    <row r="76" spans="1:29" x14ac:dyDescent="0.3">
      <c r="A76" t="s">
        <v>7</v>
      </c>
      <c r="B76" t="s">
        <v>8</v>
      </c>
      <c r="C76" t="s">
        <v>15</v>
      </c>
      <c r="D76">
        <v>25</v>
      </c>
      <c r="E76">
        <v>76</v>
      </c>
      <c r="F76">
        <v>1</v>
      </c>
      <c r="G76">
        <v>650</v>
      </c>
      <c r="H76">
        <v>3</v>
      </c>
      <c r="I76" t="s">
        <v>21</v>
      </c>
      <c r="J76">
        <v>25</v>
      </c>
      <c r="K76">
        <v>1</v>
      </c>
      <c r="L76">
        <v>75</v>
      </c>
      <c r="M76">
        <v>-1</v>
      </c>
      <c r="N76">
        <v>590</v>
      </c>
      <c r="O76">
        <v>0.61625969192544583</v>
      </c>
      <c r="P76">
        <v>7.0357916789648109E-7</v>
      </c>
      <c r="Q76">
        <v>25</v>
      </c>
      <c r="R76">
        <v>6.75</v>
      </c>
      <c r="S76">
        <v>0</v>
      </c>
      <c r="T76">
        <v>0</v>
      </c>
      <c r="U76">
        <v>0</v>
      </c>
      <c r="V76">
        <v>0</v>
      </c>
      <c r="W76">
        <v>4.5</v>
      </c>
      <c r="X76">
        <v>0</v>
      </c>
      <c r="Y76">
        <v>1.4999999999999999E-2</v>
      </c>
      <c r="Z76">
        <v>0.2</v>
      </c>
      <c r="AA76">
        <v>0.08</v>
      </c>
      <c r="AB76">
        <v>0.05</v>
      </c>
      <c r="AC76">
        <v>0.4</v>
      </c>
    </row>
    <row r="77" spans="1:29" x14ac:dyDescent="0.3">
      <c r="A77" t="s">
        <v>7</v>
      </c>
      <c r="B77" t="s">
        <v>14</v>
      </c>
      <c r="C77" t="s">
        <v>9</v>
      </c>
      <c r="D77">
        <v>25</v>
      </c>
      <c r="E77">
        <v>76</v>
      </c>
      <c r="F77">
        <v>1</v>
      </c>
      <c r="G77">
        <v>700</v>
      </c>
      <c r="H77">
        <v>1</v>
      </c>
      <c r="I77" t="s">
        <v>21</v>
      </c>
      <c r="J77">
        <v>25</v>
      </c>
      <c r="K77">
        <v>1</v>
      </c>
      <c r="L77">
        <v>75</v>
      </c>
      <c r="M77">
        <v>-1</v>
      </c>
      <c r="N77">
        <v>590</v>
      </c>
      <c r="O77">
        <v>0.53152886883138439</v>
      </c>
      <c r="P77">
        <v>7.0357916789648109E-7</v>
      </c>
      <c r="Q77">
        <v>25</v>
      </c>
      <c r="R77">
        <v>6.75</v>
      </c>
      <c r="S77">
        <v>0</v>
      </c>
      <c r="T77">
        <v>0</v>
      </c>
      <c r="U77">
        <v>0</v>
      </c>
      <c r="V77">
        <v>0</v>
      </c>
      <c r="W77">
        <v>4.5</v>
      </c>
      <c r="X77">
        <v>0</v>
      </c>
      <c r="Y77">
        <v>1.4999999999999999E-2</v>
      </c>
      <c r="Z77">
        <v>0.2</v>
      </c>
      <c r="AA77">
        <v>0.08</v>
      </c>
      <c r="AB77">
        <v>0.05</v>
      </c>
      <c r="AC77">
        <v>0.4</v>
      </c>
    </row>
    <row r="78" spans="1:29" x14ac:dyDescent="0.3">
      <c r="A78" t="s">
        <v>7</v>
      </c>
      <c r="B78" t="s">
        <v>8</v>
      </c>
      <c r="C78" t="s">
        <v>9</v>
      </c>
      <c r="D78">
        <v>25</v>
      </c>
      <c r="E78">
        <v>76</v>
      </c>
      <c r="F78">
        <v>1</v>
      </c>
      <c r="G78">
        <v>800</v>
      </c>
      <c r="H78">
        <v>2</v>
      </c>
      <c r="I78" t="s">
        <v>21</v>
      </c>
      <c r="J78">
        <v>25</v>
      </c>
      <c r="K78">
        <v>1</v>
      </c>
      <c r="L78">
        <v>75</v>
      </c>
      <c r="M78">
        <v>-1</v>
      </c>
      <c r="N78">
        <v>590</v>
      </c>
      <c r="O78">
        <v>0.61179755234275957</v>
      </c>
      <c r="P78">
        <v>7.0357916789648109E-7</v>
      </c>
      <c r="Q78">
        <v>25</v>
      </c>
      <c r="R78">
        <v>6.75</v>
      </c>
      <c r="S78">
        <v>0</v>
      </c>
      <c r="T78">
        <v>0</v>
      </c>
      <c r="U78">
        <v>0</v>
      </c>
      <c r="V78">
        <v>0</v>
      </c>
      <c r="W78">
        <v>4.5</v>
      </c>
      <c r="X78">
        <v>0</v>
      </c>
      <c r="Y78">
        <v>1.4999999999999999E-2</v>
      </c>
      <c r="Z78">
        <v>0.2</v>
      </c>
      <c r="AA78">
        <v>0.08</v>
      </c>
      <c r="AB78">
        <v>0.05</v>
      </c>
      <c r="AC78">
        <v>0.4</v>
      </c>
    </row>
    <row r="79" spans="1:29" x14ac:dyDescent="0.3">
      <c r="A79" t="s">
        <v>7</v>
      </c>
      <c r="B79" t="s">
        <v>8</v>
      </c>
      <c r="C79" t="s">
        <v>13</v>
      </c>
      <c r="D79">
        <v>920</v>
      </c>
      <c r="E79">
        <v>100</v>
      </c>
      <c r="F79">
        <v>2</v>
      </c>
      <c r="G79">
        <v>25</v>
      </c>
      <c r="H79">
        <v>1</v>
      </c>
      <c r="I79" t="s">
        <v>21</v>
      </c>
      <c r="J79">
        <v>25</v>
      </c>
      <c r="K79">
        <v>1</v>
      </c>
      <c r="L79">
        <v>75</v>
      </c>
      <c r="M79">
        <v>-1</v>
      </c>
      <c r="N79">
        <v>590</v>
      </c>
      <c r="O79">
        <v>0.61179755234275957</v>
      </c>
      <c r="P79">
        <v>7.0357916789648109E-7</v>
      </c>
      <c r="Q79">
        <v>25</v>
      </c>
      <c r="R79">
        <v>6.75</v>
      </c>
      <c r="S79">
        <v>0</v>
      </c>
      <c r="T79">
        <v>0</v>
      </c>
      <c r="U79">
        <v>0</v>
      </c>
      <c r="V79">
        <v>0</v>
      </c>
      <c r="W79">
        <v>4.5</v>
      </c>
      <c r="X79">
        <v>0</v>
      </c>
      <c r="Y79">
        <v>1.4999999999999999E-2</v>
      </c>
      <c r="Z79">
        <v>0.2</v>
      </c>
      <c r="AA79">
        <v>0.08</v>
      </c>
      <c r="AB79">
        <v>0.05</v>
      </c>
      <c r="AC79">
        <v>0.4</v>
      </c>
    </row>
    <row r="80" spans="1:29" x14ac:dyDescent="0.3">
      <c r="A80" t="s">
        <v>7</v>
      </c>
      <c r="B80" t="s">
        <v>16</v>
      </c>
      <c r="C80" t="s">
        <v>6</v>
      </c>
      <c r="D80">
        <v>25</v>
      </c>
      <c r="E80">
        <v>76</v>
      </c>
      <c r="F80">
        <v>2</v>
      </c>
      <c r="G80">
        <v>25</v>
      </c>
      <c r="H80">
        <v>1</v>
      </c>
      <c r="I80" t="s">
        <v>21</v>
      </c>
      <c r="J80">
        <v>25</v>
      </c>
      <c r="K80">
        <v>1</v>
      </c>
      <c r="L80">
        <v>75</v>
      </c>
      <c r="M80">
        <v>-1</v>
      </c>
      <c r="N80">
        <v>590</v>
      </c>
      <c r="O80">
        <v>0.61179755234275957</v>
      </c>
      <c r="P80">
        <v>7.0357916789648109E-7</v>
      </c>
      <c r="Q80">
        <v>25</v>
      </c>
      <c r="R80">
        <v>6.75</v>
      </c>
      <c r="S80">
        <v>0</v>
      </c>
      <c r="T80">
        <v>0</v>
      </c>
      <c r="U80">
        <v>0</v>
      </c>
      <c r="V80">
        <v>0</v>
      </c>
      <c r="W80">
        <v>4.5</v>
      </c>
      <c r="X80">
        <v>0</v>
      </c>
      <c r="Y80">
        <v>1.4999999999999999E-2</v>
      </c>
      <c r="Z80">
        <v>0.2</v>
      </c>
      <c r="AA80">
        <v>0.08</v>
      </c>
      <c r="AB80">
        <v>0.05</v>
      </c>
      <c r="AC80">
        <v>0.4</v>
      </c>
    </row>
    <row r="81" spans="1:29" x14ac:dyDescent="0.3">
      <c r="A81" t="s">
        <v>7</v>
      </c>
      <c r="B81" t="s">
        <v>8</v>
      </c>
      <c r="C81" t="s">
        <v>17</v>
      </c>
      <c r="D81">
        <v>920</v>
      </c>
      <c r="E81">
        <v>100</v>
      </c>
      <c r="F81">
        <v>2</v>
      </c>
      <c r="G81">
        <v>800</v>
      </c>
      <c r="H81">
        <v>2</v>
      </c>
      <c r="I81" t="s">
        <v>21</v>
      </c>
      <c r="J81">
        <v>25</v>
      </c>
      <c r="K81">
        <v>1</v>
      </c>
      <c r="L81">
        <v>75</v>
      </c>
      <c r="M81">
        <v>-1</v>
      </c>
      <c r="N81">
        <v>590</v>
      </c>
      <c r="O81">
        <v>0.61179755234275957</v>
      </c>
      <c r="P81">
        <v>7.0357916789648109E-7</v>
      </c>
      <c r="Q81">
        <v>25</v>
      </c>
      <c r="R81">
        <v>6.75</v>
      </c>
      <c r="S81">
        <v>0</v>
      </c>
      <c r="T81">
        <v>0</v>
      </c>
      <c r="U81">
        <v>0</v>
      </c>
      <c r="V81">
        <v>0</v>
      </c>
      <c r="W81">
        <v>4.5</v>
      </c>
      <c r="X81">
        <v>0</v>
      </c>
      <c r="Y81">
        <v>1.4999999999999999E-2</v>
      </c>
      <c r="Z81">
        <v>0.2</v>
      </c>
      <c r="AA81">
        <v>0.08</v>
      </c>
      <c r="AB81">
        <v>0.05</v>
      </c>
      <c r="AC81">
        <v>0.4</v>
      </c>
    </row>
    <row r="82" spans="1:29" x14ac:dyDescent="0.3">
      <c r="A82" t="s">
        <v>7</v>
      </c>
      <c r="B82" t="s">
        <v>8</v>
      </c>
      <c r="C82" t="s">
        <v>18</v>
      </c>
      <c r="D82">
        <v>920</v>
      </c>
      <c r="E82">
        <v>100</v>
      </c>
      <c r="F82">
        <v>2</v>
      </c>
      <c r="G82">
        <v>800</v>
      </c>
      <c r="H82">
        <v>2</v>
      </c>
      <c r="I82" t="s">
        <v>21</v>
      </c>
      <c r="J82">
        <v>25</v>
      </c>
      <c r="K82">
        <v>1</v>
      </c>
      <c r="L82">
        <v>75</v>
      </c>
      <c r="M82">
        <v>-1</v>
      </c>
      <c r="N82">
        <v>590</v>
      </c>
      <c r="O82">
        <v>0.61179755234275957</v>
      </c>
      <c r="P82">
        <v>7.0357916789648109E-7</v>
      </c>
      <c r="Q82">
        <v>25</v>
      </c>
      <c r="R82">
        <v>6.75</v>
      </c>
      <c r="S82">
        <v>0</v>
      </c>
      <c r="T82">
        <v>0</v>
      </c>
      <c r="U82">
        <v>0</v>
      </c>
      <c r="V82">
        <v>0</v>
      </c>
      <c r="W82">
        <v>4.5</v>
      </c>
      <c r="X82">
        <v>0</v>
      </c>
      <c r="Y82">
        <v>1.4999999999999999E-2</v>
      </c>
      <c r="Z82">
        <v>0.2</v>
      </c>
      <c r="AA82">
        <v>0.08</v>
      </c>
      <c r="AB82">
        <v>0.05</v>
      </c>
      <c r="AC82">
        <v>0.4</v>
      </c>
    </row>
    <row r="83" spans="1:29" x14ac:dyDescent="0.3">
      <c r="A83" t="s">
        <v>7</v>
      </c>
      <c r="B83" t="s">
        <v>8</v>
      </c>
      <c r="C83" t="s">
        <v>6</v>
      </c>
      <c r="D83">
        <v>25</v>
      </c>
      <c r="E83">
        <v>76</v>
      </c>
      <c r="F83">
        <v>2</v>
      </c>
      <c r="G83">
        <v>25</v>
      </c>
      <c r="H83">
        <v>1</v>
      </c>
      <c r="I83" t="s">
        <v>21</v>
      </c>
      <c r="J83">
        <v>25</v>
      </c>
      <c r="K83">
        <v>1</v>
      </c>
      <c r="L83">
        <v>75</v>
      </c>
      <c r="M83">
        <v>-1</v>
      </c>
      <c r="N83">
        <v>590</v>
      </c>
      <c r="O83">
        <v>0.61179755234275957</v>
      </c>
      <c r="P83">
        <v>7.0357916789648109E-7</v>
      </c>
      <c r="Q83">
        <v>25</v>
      </c>
      <c r="R83">
        <v>6.75</v>
      </c>
      <c r="S83">
        <v>0</v>
      </c>
      <c r="T83">
        <v>0</v>
      </c>
      <c r="U83">
        <v>0</v>
      </c>
      <c r="V83">
        <v>0</v>
      </c>
      <c r="W83">
        <v>4.5</v>
      </c>
      <c r="X83">
        <v>0</v>
      </c>
      <c r="Y83">
        <v>1.4999999999999999E-2</v>
      </c>
      <c r="Z83">
        <v>0.2</v>
      </c>
      <c r="AA83">
        <v>0.08</v>
      </c>
      <c r="AB83">
        <v>0.05</v>
      </c>
      <c r="AC83">
        <v>0.4</v>
      </c>
    </row>
    <row r="84" spans="1:29" x14ac:dyDescent="0.3">
      <c r="A84" t="s">
        <v>7</v>
      </c>
      <c r="B84" t="s">
        <v>16</v>
      </c>
      <c r="C84" t="s">
        <v>6</v>
      </c>
      <c r="D84">
        <v>25</v>
      </c>
      <c r="E84">
        <v>76</v>
      </c>
      <c r="F84">
        <v>2</v>
      </c>
      <c r="G84">
        <v>25</v>
      </c>
      <c r="H84">
        <v>1</v>
      </c>
      <c r="I84" t="s">
        <v>21</v>
      </c>
      <c r="J84">
        <v>25</v>
      </c>
      <c r="K84">
        <v>1</v>
      </c>
      <c r="L84">
        <v>75</v>
      </c>
      <c r="M84">
        <v>-1</v>
      </c>
      <c r="N84">
        <v>590</v>
      </c>
      <c r="O84">
        <v>0.61179755234275957</v>
      </c>
      <c r="P84">
        <v>7.0357916789648109E-7</v>
      </c>
      <c r="Q84">
        <v>25</v>
      </c>
      <c r="R84">
        <v>6.75</v>
      </c>
      <c r="S84">
        <v>0</v>
      </c>
      <c r="T84">
        <v>0</v>
      </c>
      <c r="U84">
        <v>0</v>
      </c>
      <c r="V84">
        <v>0</v>
      </c>
      <c r="W84">
        <v>4.5</v>
      </c>
      <c r="X84">
        <v>0</v>
      </c>
      <c r="Y84">
        <v>1.4999999999999999E-2</v>
      </c>
      <c r="Z84">
        <v>0.2</v>
      </c>
      <c r="AA84">
        <v>0.08</v>
      </c>
      <c r="AB84">
        <v>0.05</v>
      </c>
      <c r="AC84">
        <v>0.4</v>
      </c>
    </row>
    <row r="85" spans="1:29" x14ac:dyDescent="0.3">
      <c r="A85" t="s">
        <v>7</v>
      </c>
      <c r="B85" t="s">
        <v>8</v>
      </c>
      <c r="C85" t="s">
        <v>4</v>
      </c>
      <c r="D85">
        <v>25</v>
      </c>
      <c r="E85">
        <v>76</v>
      </c>
      <c r="F85">
        <v>2</v>
      </c>
      <c r="G85">
        <v>920</v>
      </c>
      <c r="H85">
        <v>2</v>
      </c>
      <c r="I85" t="s">
        <v>5</v>
      </c>
      <c r="J85">
        <v>670</v>
      </c>
      <c r="K85">
        <v>4</v>
      </c>
      <c r="L85">
        <v>75</v>
      </c>
      <c r="M85">
        <v>-1</v>
      </c>
      <c r="N85">
        <v>590</v>
      </c>
      <c r="O85">
        <v>0.58169985496347387</v>
      </c>
      <c r="P85">
        <v>7.0357916789648109E-7</v>
      </c>
      <c r="Q85">
        <v>25</v>
      </c>
      <c r="R85">
        <v>6.75</v>
      </c>
      <c r="S85">
        <v>0</v>
      </c>
      <c r="T85">
        <v>0</v>
      </c>
      <c r="U85">
        <v>0</v>
      </c>
      <c r="V85">
        <v>0</v>
      </c>
      <c r="W85">
        <v>4.5</v>
      </c>
      <c r="X85">
        <v>0</v>
      </c>
      <c r="Y85">
        <v>1.4999999999999999E-2</v>
      </c>
      <c r="Z85">
        <v>0.2</v>
      </c>
      <c r="AA85">
        <v>0.08</v>
      </c>
      <c r="AB85">
        <v>0.05</v>
      </c>
      <c r="AC85">
        <v>0.4</v>
      </c>
    </row>
    <row r="86" spans="1:29" x14ac:dyDescent="0.3">
      <c r="A86" t="s">
        <v>7</v>
      </c>
      <c r="B86" t="s">
        <v>8</v>
      </c>
      <c r="C86" t="s">
        <v>17</v>
      </c>
      <c r="D86">
        <v>920</v>
      </c>
      <c r="E86">
        <v>200</v>
      </c>
      <c r="F86">
        <v>1</v>
      </c>
      <c r="G86">
        <v>670</v>
      </c>
      <c r="H86">
        <v>1</v>
      </c>
      <c r="I86" t="s">
        <v>21</v>
      </c>
      <c r="J86">
        <v>25</v>
      </c>
      <c r="K86">
        <v>1</v>
      </c>
      <c r="L86">
        <v>75</v>
      </c>
      <c r="M86">
        <v>-1</v>
      </c>
      <c r="N86">
        <v>590</v>
      </c>
      <c r="O86">
        <v>0.61625969192544583</v>
      </c>
      <c r="P86">
        <v>7.0357916789648109E-7</v>
      </c>
      <c r="Q86">
        <v>25</v>
      </c>
      <c r="R86">
        <v>6.75</v>
      </c>
      <c r="S86">
        <v>0</v>
      </c>
      <c r="T86">
        <v>0</v>
      </c>
      <c r="U86">
        <v>0</v>
      </c>
      <c r="V86">
        <v>0</v>
      </c>
      <c r="W86">
        <v>4.5</v>
      </c>
      <c r="X86">
        <v>0</v>
      </c>
      <c r="Y86">
        <v>1.4999999999999999E-2</v>
      </c>
      <c r="Z86">
        <v>0.2</v>
      </c>
      <c r="AA86">
        <v>0.08</v>
      </c>
      <c r="AB86">
        <v>0.05</v>
      </c>
      <c r="AC86">
        <v>0.4</v>
      </c>
    </row>
    <row r="87" spans="1:29" x14ac:dyDescent="0.3">
      <c r="A87" t="s">
        <v>7</v>
      </c>
      <c r="B87" t="s">
        <v>8</v>
      </c>
      <c r="C87" t="s">
        <v>17</v>
      </c>
      <c r="D87">
        <v>920</v>
      </c>
      <c r="E87">
        <v>200</v>
      </c>
      <c r="F87">
        <v>1</v>
      </c>
      <c r="G87">
        <v>670</v>
      </c>
      <c r="H87">
        <v>1</v>
      </c>
      <c r="I87" t="s">
        <v>21</v>
      </c>
      <c r="J87">
        <v>25</v>
      </c>
      <c r="K87">
        <v>1</v>
      </c>
      <c r="L87">
        <v>75</v>
      </c>
      <c r="M87">
        <v>-1</v>
      </c>
      <c r="N87">
        <v>590</v>
      </c>
      <c r="O87">
        <v>0.61625969192544583</v>
      </c>
      <c r="P87">
        <v>7.0357916789648109E-7</v>
      </c>
      <c r="Q87">
        <v>25</v>
      </c>
      <c r="R87">
        <v>6.75</v>
      </c>
      <c r="S87">
        <v>0</v>
      </c>
      <c r="T87">
        <v>0</v>
      </c>
      <c r="U87">
        <v>0</v>
      </c>
      <c r="V87">
        <v>0</v>
      </c>
      <c r="W87">
        <v>4.5</v>
      </c>
      <c r="X87">
        <v>0</v>
      </c>
      <c r="Y87">
        <v>1.4999999999999999E-2</v>
      </c>
      <c r="Z87">
        <v>0.2</v>
      </c>
      <c r="AA87">
        <v>0.08</v>
      </c>
      <c r="AB87">
        <v>0.05</v>
      </c>
      <c r="AC87">
        <v>0.4</v>
      </c>
    </row>
    <row r="88" spans="1:29" x14ac:dyDescent="0.3">
      <c r="A88" t="s">
        <v>7</v>
      </c>
      <c r="B88" t="s">
        <v>19</v>
      </c>
      <c r="C88" t="s">
        <v>9</v>
      </c>
      <c r="D88">
        <v>25</v>
      </c>
      <c r="E88">
        <v>76</v>
      </c>
      <c r="F88">
        <v>1</v>
      </c>
      <c r="G88">
        <v>650</v>
      </c>
      <c r="H88">
        <v>2</v>
      </c>
      <c r="I88" t="s">
        <v>21</v>
      </c>
      <c r="J88">
        <v>25</v>
      </c>
      <c r="K88">
        <v>1</v>
      </c>
      <c r="L88">
        <v>32</v>
      </c>
      <c r="M88">
        <v>-1</v>
      </c>
      <c r="N88">
        <v>60</v>
      </c>
      <c r="O88">
        <v>0.61625969192544583</v>
      </c>
      <c r="P88">
        <v>6.5245993263099976E-7</v>
      </c>
      <c r="Q88">
        <v>25</v>
      </c>
      <c r="R88">
        <v>6.75</v>
      </c>
      <c r="S88">
        <v>0</v>
      </c>
      <c r="T88">
        <v>0</v>
      </c>
      <c r="U88">
        <v>0</v>
      </c>
      <c r="V88">
        <v>0</v>
      </c>
      <c r="W88">
        <v>4.5</v>
      </c>
      <c r="X88">
        <v>0</v>
      </c>
      <c r="Y88">
        <v>1.4999999999999999E-2</v>
      </c>
      <c r="Z88">
        <v>0.2</v>
      </c>
      <c r="AA88">
        <v>0.08</v>
      </c>
      <c r="AB88">
        <v>0.05</v>
      </c>
      <c r="AC88">
        <v>0.4</v>
      </c>
    </row>
    <row r="89" spans="1:29" x14ac:dyDescent="0.3">
      <c r="A89" t="s">
        <v>7</v>
      </c>
      <c r="B89" t="s">
        <v>19</v>
      </c>
      <c r="C89" t="s">
        <v>13</v>
      </c>
      <c r="D89">
        <v>900</v>
      </c>
      <c r="E89">
        <v>102</v>
      </c>
      <c r="F89">
        <v>2</v>
      </c>
      <c r="G89">
        <v>25</v>
      </c>
      <c r="H89">
        <v>1</v>
      </c>
      <c r="I89" t="s">
        <v>21</v>
      </c>
      <c r="J89">
        <v>25</v>
      </c>
      <c r="K89">
        <v>1</v>
      </c>
      <c r="L89">
        <v>32</v>
      </c>
      <c r="M89">
        <v>-1</v>
      </c>
      <c r="N89">
        <v>405</v>
      </c>
      <c r="O89">
        <v>0.61625969192544583</v>
      </c>
      <c r="P89">
        <v>6.9489769552281564E-7</v>
      </c>
      <c r="Q89">
        <v>25</v>
      </c>
      <c r="R89">
        <v>6.75</v>
      </c>
      <c r="S89">
        <v>0</v>
      </c>
      <c r="T89">
        <v>0</v>
      </c>
      <c r="U89">
        <v>0</v>
      </c>
      <c r="V89">
        <v>0</v>
      </c>
      <c r="W89">
        <v>4.5</v>
      </c>
      <c r="X89">
        <v>0</v>
      </c>
      <c r="Y89">
        <v>1.4999999999999999E-2</v>
      </c>
      <c r="Z89">
        <v>0.2</v>
      </c>
      <c r="AA89">
        <v>0.08</v>
      </c>
      <c r="AB89">
        <v>0.05</v>
      </c>
      <c r="AC89">
        <v>0.4</v>
      </c>
    </row>
    <row r="90" spans="1:29" x14ac:dyDescent="0.3">
      <c r="A90" t="s">
        <v>7</v>
      </c>
      <c r="B90" t="s">
        <v>19</v>
      </c>
      <c r="C90" t="s">
        <v>9</v>
      </c>
      <c r="D90">
        <v>25</v>
      </c>
      <c r="E90">
        <v>76</v>
      </c>
      <c r="F90">
        <v>1</v>
      </c>
      <c r="G90">
        <v>650</v>
      </c>
      <c r="H90">
        <v>2</v>
      </c>
      <c r="I90" t="s">
        <v>21</v>
      </c>
      <c r="J90">
        <v>25</v>
      </c>
      <c r="K90">
        <v>1</v>
      </c>
      <c r="L90">
        <v>32</v>
      </c>
      <c r="M90">
        <v>-1</v>
      </c>
      <c r="N90">
        <v>60</v>
      </c>
      <c r="O90">
        <v>0.61625969192544583</v>
      </c>
      <c r="P90">
        <v>6.5245993263099976E-7</v>
      </c>
      <c r="Q90">
        <v>25</v>
      </c>
      <c r="R90">
        <v>6.75</v>
      </c>
      <c r="S90">
        <v>0</v>
      </c>
      <c r="T90">
        <v>0</v>
      </c>
      <c r="U90">
        <v>0</v>
      </c>
      <c r="V90">
        <v>0</v>
      </c>
      <c r="W90">
        <v>4.5</v>
      </c>
      <c r="X90">
        <v>0</v>
      </c>
      <c r="Y90">
        <v>1.4999999999999999E-2</v>
      </c>
      <c r="Z90">
        <v>0.2</v>
      </c>
      <c r="AA90">
        <v>0.08</v>
      </c>
      <c r="AB90">
        <v>0.05</v>
      </c>
      <c r="AC90">
        <v>0.4</v>
      </c>
    </row>
    <row r="91" spans="1:29" x14ac:dyDescent="0.3">
      <c r="A91" t="s">
        <v>7</v>
      </c>
      <c r="B91" t="s">
        <v>19</v>
      </c>
      <c r="C91" t="s">
        <v>13</v>
      </c>
      <c r="D91">
        <v>900</v>
      </c>
      <c r="E91">
        <v>102</v>
      </c>
      <c r="F91">
        <v>2</v>
      </c>
      <c r="G91">
        <v>25</v>
      </c>
      <c r="H91">
        <v>1</v>
      </c>
      <c r="I91" t="s">
        <v>21</v>
      </c>
      <c r="J91">
        <v>25</v>
      </c>
      <c r="K91">
        <v>1</v>
      </c>
      <c r="L91">
        <v>32</v>
      </c>
      <c r="M91">
        <v>-1</v>
      </c>
      <c r="N91">
        <v>400</v>
      </c>
      <c r="O91">
        <v>0.61625969192544583</v>
      </c>
      <c r="P91">
        <v>6.9461288534764957E-7</v>
      </c>
      <c r="Q91">
        <v>25</v>
      </c>
      <c r="R91">
        <v>6.75</v>
      </c>
      <c r="S91">
        <v>0</v>
      </c>
      <c r="T91">
        <v>0</v>
      </c>
      <c r="U91">
        <v>0</v>
      </c>
      <c r="V91">
        <v>0</v>
      </c>
      <c r="W91">
        <v>4.5</v>
      </c>
      <c r="X91">
        <v>0</v>
      </c>
      <c r="Y91">
        <v>1.4999999999999999E-2</v>
      </c>
      <c r="Z91">
        <v>0.2</v>
      </c>
      <c r="AA91">
        <v>0.08</v>
      </c>
      <c r="AB91">
        <v>0.05</v>
      </c>
      <c r="AC91">
        <v>0.4</v>
      </c>
    </row>
    <row r="92" spans="1:29" x14ac:dyDescent="0.3">
      <c r="A92" t="s">
        <v>22</v>
      </c>
      <c r="B92" t="s">
        <v>139</v>
      </c>
      <c r="C92" t="s">
        <v>9</v>
      </c>
      <c r="D92">
        <v>25</v>
      </c>
      <c r="E92">
        <v>76</v>
      </c>
      <c r="F92">
        <v>2</v>
      </c>
      <c r="G92">
        <v>970</v>
      </c>
      <c r="H92">
        <v>2</v>
      </c>
      <c r="I92" t="s">
        <v>21</v>
      </c>
      <c r="J92">
        <v>25</v>
      </c>
      <c r="K92">
        <v>1</v>
      </c>
      <c r="L92">
        <v>2</v>
      </c>
      <c r="M92">
        <v>0.1</v>
      </c>
      <c r="N92">
        <v>890</v>
      </c>
      <c r="O92">
        <v>0.82690646551801739</v>
      </c>
      <c r="P92">
        <v>7.1318914739632028E-7</v>
      </c>
      <c r="Q92">
        <v>25</v>
      </c>
      <c r="R92">
        <v>6.08</v>
      </c>
      <c r="S92">
        <v>0</v>
      </c>
      <c r="T92">
        <v>2.02</v>
      </c>
      <c r="U92">
        <v>2.94</v>
      </c>
      <c r="V92">
        <v>1.02</v>
      </c>
      <c r="W92">
        <v>0</v>
      </c>
      <c r="X92">
        <v>0.03</v>
      </c>
      <c r="Y92">
        <v>0.03</v>
      </c>
      <c r="Z92">
        <v>5.0000000000000001E-3</v>
      </c>
      <c r="AA92">
        <v>7.0000000000000007E-2</v>
      </c>
      <c r="AB92">
        <v>3.0000000000000001E-3</v>
      </c>
      <c r="AC92">
        <v>1E-3</v>
      </c>
    </row>
    <row r="93" spans="1:29" x14ac:dyDescent="0.3">
      <c r="A93" t="s">
        <v>23</v>
      </c>
      <c r="B93" t="s">
        <v>139</v>
      </c>
      <c r="C93" t="s">
        <v>9</v>
      </c>
      <c r="D93">
        <v>25</v>
      </c>
      <c r="E93">
        <v>76</v>
      </c>
      <c r="F93">
        <v>2</v>
      </c>
      <c r="G93">
        <v>1080</v>
      </c>
      <c r="H93">
        <v>2</v>
      </c>
      <c r="I93" t="s">
        <v>21</v>
      </c>
      <c r="J93">
        <v>25</v>
      </c>
      <c r="K93">
        <v>1</v>
      </c>
      <c r="L93">
        <v>2</v>
      </c>
      <c r="M93">
        <v>0.1</v>
      </c>
      <c r="N93">
        <v>500</v>
      </c>
      <c r="O93">
        <v>1.0099075945242479</v>
      </c>
      <c r="P93">
        <v>6.9974671095948523E-7</v>
      </c>
      <c r="Q93">
        <v>25</v>
      </c>
      <c r="R93">
        <v>5.8</v>
      </c>
      <c r="S93">
        <v>4</v>
      </c>
      <c r="T93">
        <v>3.5</v>
      </c>
      <c r="U93">
        <v>0.7</v>
      </c>
      <c r="V93">
        <v>0.5</v>
      </c>
      <c r="W93">
        <v>0</v>
      </c>
      <c r="X93">
        <v>0.35</v>
      </c>
      <c r="Y93">
        <v>0</v>
      </c>
      <c r="Z93">
        <v>0</v>
      </c>
      <c r="AA93">
        <v>0.06</v>
      </c>
      <c r="AB93">
        <v>0</v>
      </c>
      <c r="AC93">
        <v>0</v>
      </c>
    </row>
    <row r="94" spans="1:29" x14ac:dyDescent="0.3">
      <c r="A94" t="s">
        <v>23</v>
      </c>
      <c r="B94" t="s">
        <v>139</v>
      </c>
      <c r="C94" t="s">
        <v>4</v>
      </c>
      <c r="D94">
        <v>25</v>
      </c>
      <c r="E94">
        <v>76</v>
      </c>
      <c r="F94">
        <v>2</v>
      </c>
      <c r="G94">
        <v>1025</v>
      </c>
      <c r="H94">
        <v>2</v>
      </c>
      <c r="I94" t="s">
        <v>21</v>
      </c>
      <c r="J94">
        <v>700</v>
      </c>
      <c r="K94">
        <v>2</v>
      </c>
      <c r="L94">
        <v>2</v>
      </c>
      <c r="M94">
        <v>0.1</v>
      </c>
      <c r="N94">
        <v>500</v>
      </c>
      <c r="O94">
        <v>0.96022466747650492</v>
      </c>
      <c r="P94">
        <v>6.9974671095948523E-7</v>
      </c>
      <c r="Q94">
        <v>25</v>
      </c>
      <c r="R94">
        <v>5.8</v>
      </c>
      <c r="S94">
        <v>4</v>
      </c>
      <c r="T94">
        <v>3.5</v>
      </c>
      <c r="U94">
        <v>0.7</v>
      </c>
      <c r="V94">
        <v>0.5</v>
      </c>
      <c r="W94">
        <v>0</v>
      </c>
      <c r="X94">
        <v>0.35</v>
      </c>
      <c r="Y94">
        <v>0</v>
      </c>
      <c r="Z94">
        <v>0</v>
      </c>
      <c r="AA94">
        <v>0.06</v>
      </c>
      <c r="AB94">
        <v>0</v>
      </c>
      <c r="AC94">
        <v>0</v>
      </c>
    </row>
    <row r="95" spans="1:29" x14ac:dyDescent="0.3">
      <c r="A95" t="s">
        <v>23</v>
      </c>
      <c r="B95" t="s">
        <v>139</v>
      </c>
      <c r="C95" t="s">
        <v>9</v>
      </c>
      <c r="D95">
        <v>25</v>
      </c>
      <c r="E95">
        <v>76</v>
      </c>
      <c r="F95">
        <v>2</v>
      </c>
      <c r="G95">
        <v>1025</v>
      </c>
      <c r="H95">
        <v>2</v>
      </c>
      <c r="I95" t="s">
        <v>21</v>
      </c>
      <c r="J95">
        <v>25</v>
      </c>
      <c r="K95">
        <v>2</v>
      </c>
      <c r="L95">
        <v>2</v>
      </c>
      <c r="M95">
        <v>0.1</v>
      </c>
      <c r="N95">
        <v>500</v>
      </c>
      <c r="O95">
        <v>0.96022466747650492</v>
      </c>
      <c r="P95">
        <v>6.9974671095948523E-7</v>
      </c>
      <c r="Q95">
        <v>25</v>
      </c>
      <c r="R95">
        <v>5.8</v>
      </c>
      <c r="S95">
        <v>4</v>
      </c>
      <c r="T95">
        <v>3.5</v>
      </c>
      <c r="U95">
        <v>0.7</v>
      </c>
      <c r="V95">
        <v>0.5</v>
      </c>
      <c r="W95">
        <v>0</v>
      </c>
      <c r="X95">
        <v>0.35</v>
      </c>
      <c r="Y95">
        <v>0</v>
      </c>
      <c r="Z95">
        <v>0</v>
      </c>
      <c r="AA95">
        <v>0.06</v>
      </c>
      <c r="AB95">
        <v>0</v>
      </c>
      <c r="AC95">
        <v>0</v>
      </c>
    </row>
    <row r="96" spans="1:29" x14ac:dyDescent="0.3">
      <c r="A96" t="s">
        <v>24</v>
      </c>
      <c r="B96" t="s">
        <v>139</v>
      </c>
      <c r="C96" t="s">
        <v>9</v>
      </c>
      <c r="D96">
        <v>25</v>
      </c>
      <c r="E96">
        <v>76</v>
      </c>
      <c r="F96">
        <v>2</v>
      </c>
      <c r="G96">
        <v>950</v>
      </c>
      <c r="H96">
        <v>25</v>
      </c>
      <c r="I96" t="s">
        <v>21</v>
      </c>
      <c r="J96">
        <v>25</v>
      </c>
      <c r="K96">
        <v>2</v>
      </c>
      <c r="L96">
        <v>2</v>
      </c>
      <c r="M96">
        <v>0.1</v>
      </c>
      <c r="N96">
        <v>245</v>
      </c>
      <c r="O96">
        <v>0.55155985711064381</v>
      </c>
      <c r="P96">
        <v>6.8346666351917972E-7</v>
      </c>
      <c r="Q96">
        <v>25</v>
      </c>
      <c r="R96">
        <v>5.8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0.03</v>
      </c>
      <c r="Z96">
        <v>0.13</v>
      </c>
      <c r="AA96">
        <v>0.01</v>
      </c>
      <c r="AB96">
        <v>0.01</v>
      </c>
      <c r="AC96">
        <v>0</v>
      </c>
    </row>
    <row r="97" spans="1:29" x14ac:dyDescent="0.3">
      <c r="A97" t="s">
        <v>25</v>
      </c>
      <c r="B97" t="s">
        <v>139</v>
      </c>
      <c r="C97" t="s">
        <v>9</v>
      </c>
      <c r="D97">
        <v>25</v>
      </c>
      <c r="E97">
        <v>76</v>
      </c>
      <c r="F97">
        <v>2</v>
      </c>
      <c r="G97">
        <v>700</v>
      </c>
      <c r="H97">
        <v>1</v>
      </c>
      <c r="I97" t="s">
        <v>21</v>
      </c>
      <c r="J97">
        <v>25</v>
      </c>
      <c r="K97">
        <v>2</v>
      </c>
      <c r="L97">
        <v>2</v>
      </c>
      <c r="M97">
        <v>0.1</v>
      </c>
      <c r="N97">
        <v>193</v>
      </c>
      <c r="O97">
        <v>0.55433472152583729</v>
      </c>
      <c r="P97">
        <v>6.7810703015184315E-7</v>
      </c>
      <c r="Q97">
        <v>25</v>
      </c>
      <c r="R97">
        <v>0.01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3.5000000000000003E-2</v>
      </c>
      <c r="Z97">
        <v>7.0000000000000007E-2</v>
      </c>
      <c r="AA97">
        <v>0.01</v>
      </c>
      <c r="AB97">
        <v>5.0000000000000001E-3</v>
      </c>
      <c r="AC97">
        <v>0</v>
      </c>
    </row>
    <row r="98" spans="1:29" x14ac:dyDescent="0.3">
      <c r="A98" t="s">
        <v>26</v>
      </c>
      <c r="B98" t="s">
        <v>139</v>
      </c>
      <c r="C98" t="s">
        <v>9</v>
      </c>
      <c r="D98">
        <v>25</v>
      </c>
      <c r="E98">
        <v>76</v>
      </c>
      <c r="F98">
        <v>2</v>
      </c>
      <c r="G98">
        <v>750</v>
      </c>
      <c r="H98">
        <v>1</v>
      </c>
      <c r="I98" t="s">
        <v>21</v>
      </c>
      <c r="J98">
        <v>25</v>
      </c>
      <c r="K98">
        <v>2</v>
      </c>
      <c r="L98">
        <v>2</v>
      </c>
      <c r="M98">
        <v>0.1</v>
      </c>
      <c r="N98">
        <v>290</v>
      </c>
      <c r="O98">
        <v>0.55433472152583729</v>
      </c>
      <c r="P98">
        <v>6.8728044876453785E-7</v>
      </c>
      <c r="Q98">
        <v>25</v>
      </c>
      <c r="R98">
        <v>0.01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0.03</v>
      </c>
      <c r="Z98">
        <v>0.54</v>
      </c>
      <c r="AA98">
        <v>0.01</v>
      </c>
      <c r="AB98">
        <v>5.0000000000000001E-3</v>
      </c>
      <c r="AC98">
        <v>0</v>
      </c>
    </row>
    <row r="99" spans="1:29" x14ac:dyDescent="0.3">
      <c r="A99" t="s">
        <v>27</v>
      </c>
      <c r="B99" t="s">
        <v>139</v>
      </c>
      <c r="C99" t="s">
        <v>4</v>
      </c>
      <c r="D99">
        <v>25</v>
      </c>
      <c r="E99">
        <v>76</v>
      </c>
      <c r="F99">
        <v>2</v>
      </c>
      <c r="G99">
        <v>1050</v>
      </c>
      <c r="H99">
        <v>0.5</v>
      </c>
      <c r="I99" t="s">
        <v>21</v>
      </c>
      <c r="J99">
        <v>625</v>
      </c>
      <c r="K99">
        <v>2</v>
      </c>
      <c r="L99">
        <v>2</v>
      </c>
      <c r="M99">
        <v>0.1</v>
      </c>
      <c r="N99">
        <v>550</v>
      </c>
      <c r="O99">
        <v>0.95901778328633924</v>
      </c>
      <c r="P99">
        <v>7.0195104421605871E-7</v>
      </c>
      <c r="Q99">
        <v>25</v>
      </c>
      <c r="R99">
        <v>5.4</v>
      </c>
      <c r="S99">
        <v>3.5</v>
      </c>
      <c r="T99">
        <v>3</v>
      </c>
      <c r="U99">
        <v>1</v>
      </c>
      <c r="V99">
        <v>0.25</v>
      </c>
      <c r="W99">
        <v>0</v>
      </c>
      <c r="X99">
        <v>0.3</v>
      </c>
      <c r="Y99">
        <v>0</v>
      </c>
      <c r="Z99">
        <v>0</v>
      </c>
      <c r="AA99">
        <v>0</v>
      </c>
      <c r="AB99">
        <v>0</v>
      </c>
      <c r="AC99">
        <v>0</v>
      </c>
    </row>
    <row r="100" spans="1:29" x14ac:dyDescent="0.3">
      <c r="A100" t="s">
        <v>28</v>
      </c>
      <c r="B100" t="s">
        <v>139</v>
      </c>
      <c r="C100" t="s">
        <v>4</v>
      </c>
      <c r="D100">
        <v>25</v>
      </c>
      <c r="E100">
        <v>76</v>
      </c>
      <c r="F100">
        <v>2</v>
      </c>
      <c r="G100">
        <v>900</v>
      </c>
      <c r="H100">
        <v>2</v>
      </c>
      <c r="I100" t="s">
        <v>21</v>
      </c>
      <c r="J100">
        <v>785</v>
      </c>
      <c r="K100">
        <v>2</v>
      </c>
      <c r="L100">
        <v>2</v>
      </c>
      <c r="M100">
        <v>0.1</v>
      </c>
      <c r="N100">
        <v>552</v>
      </c>
      <c r="O100">
        <v>0.91900489211114056</v>
      </c>
      <c r="P100">
        <v>7.0203513059461106E-7</v>
      </c>
      <c r="Q100">
        <v>25</v>
      </c>
      <c r="R100">
        <v>6</v>
      </c>
      <c r="S100">
        <v>2</v>
      </c>
      <c r="T100">
        <v>4</v>
      </c>
      <c r="U100">
        <v>0</v>
      </c>
      <c r="V100">
        <v>2</v>
      </c>
      <c r="W100">
        <v>0</v>
      </c>
      <c r="X100">
        <v>0.15</v>
      </c>
      <c r="Y100">
        <v>0.09</v>
      </c>
      <c r="Z100">
        <v>0.14499999999999999</v>
      </c>
      <c r="AA100">
        <v>4.4999999999999998E-2</v>
      </c>
      <c r="AB100">
        <v>0</v>
      </c>
      <c r="AC100">
        <v>0</v>
      </c>
    </row>
    <row r="101" spans="1:29" x14ac:dyDescent="0.3">
      <c r="A101" t="s">
        <v>29</v>
      </c>
      <c r="B101" t="s">
        <v>139</v>
      </c>
      <c r="C101" t="s">
        <v>4</v>
      </c>
      <c r="D101">
        <v>25</v>
      </c>
      <c r="E101">
        <v>76</v>
      </c>
      <c r="F101">
        <v>2</v>
      </c>
      <c r="G101">
        <v>1050</v>
      </c>
      <c r="H101">
        <v>0.5</v>
      </c>
      <c r="I101" t="s">
        <v>21</v>
      </c>
      <c r="J101">
        <v>550</v>
      </c>
      <c r="K101">
        <v>24</v>
      </c>
      <c r="L101">
        <v>2</v>
      </c>
      <c r="M101">
        <v>0.1</v>
      </c>
      <c r="N101">
        <v>570</v>
      </c>
      <c r="O101">
        <v>0.75331524513017734</v>
      </c>
      <c r="P101">
        <v>7.0277891942464614E-7</v>
      </c>
      <c r="Q101">
        <v>25</v>
      </c>
      <c r="R101">
        <v>6</v>
      </c>
      <c r="S101">
        <v>0</v>
      </c>
      <c r="T101">
        <v>5</v>
      </c>
      <c r="U101">
        <v>0</v>
      </c>
      <c r="V101">
        <v>0.5</v>
      </c>
      <c r="W101">
        <v>0</v>
      </c>
      <c r="X101">
        <v>0.2</v>
      </c>
      <c r="Y101">
        <v>0</v>
      </c>
      <c r="Z101">
        <v>0</v>
      </c>
      <c r="AA101">
        <v>0</v>
      </c>
      <c r="AB101">
        <v>0</v>
      </c>
      <c r="AC101">
        <v>0</v>
      </c>
    </row>
    <row r="102" spans="1:29" x14ac:dyDescent="0.3">
      <c r="A102" t="s">
        <v>30</v>
      </c>
      <c r="B102" t="s">
        <v>139</v>
      </c>
      <c r="C102" t="s">
        <v>4</v>
      </c>
      <c r="D102">
        <v>25</v>
      </c>
      <c r="E102">
        <v>76</v>
      </c>
      <c r="F102">
        <v>2</v>
      </c>
      <c r="G102">
        <v>885</v>
      </c>
      <c r="H102">
        <v>1</v>
      </c>
      <c r="I102" t="s">
        <v>21</v>
      </c>
      <c r="J102">
        <v>595</v>
      </c>
      <c r="K102">
        <v>8</v>
      </c>
      <c r="L102">
        <v>2</v>
      </c>
      <c r="M102">
        <v>0.1</v>
      </c>
      <c r="N102">
        <v>620</v>
      </c>
      <c r="O102">
        <v>0.91900489211114056</v>
      </c>
      <c r="P102">
        <v>7.04731658140099E-7</v>
      </c>
      <c r="Q102">
        <v>25</v>
      </c>
      <c r="R102">
        <v>6</v>
      </c>
      <c r="S102">
        <v>2</v>
      </c>
      <c r="T102">
        <v>4</v>
      </c>
      <c r="U102">
        <v>0</v>
      </c>
      <c r="V102">
        <v>6</v>
      </c>
      <c r="W102">
        <v>0</v>
      </c>
      <c r="X102">
        <v>0</v>
      </c>
      <c r="Y102">
        <v>0.15</v>
      </c>
      <c r="Z102">
        <v>0.15</v>
      </c>
      <c r="AA102">
        <v>0.04</v>
      </c>
      <c r="AB102">
        <v>0.04</v>
      </c>
      <c r="AC102">
        <v>0</v>
      </c>
    </row>
    <row r="103" spans="1:29" x14ac:dyDescent="0.3">
      <c r="A103" t="s">
        <v>30</v>
      </c>
      <c r="B103" t="s">
        <v>139</v>
      </c>
      <c r="C103" t="s">
        <v>4</v>
      </c>
      <c r="D103">
        <v>25</v>
      </c>
      <c r="E103">
        <v>76</v>
      </c>
      <c r="F103">
        <v>2</v>
      </c>
      <c r="G103">
        <v>985</v>
      </c>
      <c r="H103">
        <v>1</v>
      </c>
      <c r="I103" t="s">
        <v>21</v>
      </c>
      <c r="J103">
        <v>595</v>
      </c>
      <c r="K103">
        <v>1</v>
      </c>
      <c r="L103">
        <v>2</v>
      </c>
      <c r="M103">
        <v>0.1</v>
      </c>
      <c r="N103">
        <v>530</v>
      </c>
      <c r="O103">
        <v>0.96655506922882428</v>
      </c>
      <c r="P103">
        <v>7.0109353016105535E-7</v>
      </c>
      <c r="Q103">
        <v>25</v>
      </c>
      <c r="R103">
        <v>6</v>
      </c>
      <c r="S103">
        <v>2</v>
      </c>
      <c r="T103">
        <v>4</v>
      </c>
      <c r="U103">
        <v>0</v>
      </c>
      <c r="V103">
        <v>6</v>
      </c>
      <c r="W103">
        <v>0</v>
      </c>
      <c r="X103">
        <v>0</v>
      </c>
      <c r="Y103">
        <v>0.15</v>
      </c>
      <c r="Z103">
        <v>0.15</v>
      </c>
      <c r="AA103">
        <v>0.04</v>
      </c>
      <c r="AB103">
        <v>0.04</v>
      </c>
      <c r="AC103">
        <v>0</v>
      </c>
    </row>
    <row r="104" spans="1:29" x14ac:dyDescent="0.3">
      <c r="A104" t="s">
        <v>31</v>
      </c>
      <c r="B104" t="s">
        <v>139</v>
      </c>
      <c r="C104" t="s">
        <v>4</v>
      </c>
      <c r="D104">
        <v>25</v>
      </c>
      <c r="E104">
        <v>76</v>
      </c>
      <c r="F104">
        <v>2</v>
      </c>
      <c r="G104">
        <v>900</v>
      </c>
      <c r="H104">
        <v>2</v>
      </c>
      <c r="I104" t="s">
        <v>21</v>
      </c>
      <c r="J104">
        <v>785</v>
      </c>
      <c r="K104">
        <v>2</v>
      </c>
      <c r="L104">
        <v>2</v>
      </c>
      <c r="M104">
        <v>0.1</v>
      </c>
      <c r="N104">
        <v>540</v>
      </c>
      <c r="O104">
        <v>0.91900489211114056</v>
      </c>
      <c r="P104">
        <v>7.0152612637489846E-7</v>
      </c>
      <c r="Q104">
        <v>25</v>
      </c>
      <c r="R104">
        <v>6</v>
      </c>
      <c r="S104">
        <v>2</v>
      </c>
      <c r="T104">
        <v>4</v>
      </c>
      <c r="U104">
        <v>0</v>
      </c>
      <c r="V104">
        <v>2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</row>
    <row r="105" spans="1:29" x14ac:dyDescent="0.3">
      <c r="A105" t="s">
        <v>31</v>
      </c>
      <c r="B105" t="s">
        <v>139</v>
      </c>
      <c r="C105" t="s">
        <v>4</v>
      </c>
      <c r="D105">
        <v>25</v>
      </c>
      <c r="E105">
        <v>76</v>
      </c>
      <c r="F105">
        <v>2</v>
      </c>
      <c r="G105">
        <v>900</v>
      </c>
      <c r="H105">
        <v>2</v>
      </c>
      <c r="I105" t="s">
        <v>21</v>
      </c>
      <c r="J105">
        <v>785</v>
      </c>
      <c r="K105">
        <v>200</v>
      </c>
      <c r="L105">
        <v>2</v>
      </c>
      <c r="M105">
        <v>0.1</v>
      </c>
      <c r="N105">
        <v>535</v>
      </c>
      <c r="O105">
        <v>0.91900489211114056</v>
      </c>
      <c r="P105">
        <v>7.0131080566686891E-7</v>
      </c>
      <c r="Q105">
        <v>25</v>
      </c>
      <c r="R105">
        <v>6</v>
      </c>
      <c r="S105">
        <v>2</v>
      </c>
      <c r="T105">
        <v>4</v>
      </c>
      <c r="U105">
        <v>0</v>
      </c>
      <c r="V105">
        <v>2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</row>
    <row r="106" spans="1:29" x14ac:dyDescent="0.3">
      <c r="A106" t="s">
        <v>23</v>
      </c>
      <c r="B106" t="s">
        <v>139</v>
      </c>
      <c r="C106" t="s">
        <v>9</v>
      </c>
      <c r="D106">
        <v>25</v>
      </c>
      <c r="E106">
        <v>76</v>
      </c>
      <c r="F106">
        <v>2</v>
      </c>
      <c r="G106">
        <v>1080</v>
      </c>
      <c r="H106">
        <v>1</v>
      </c>
      <c r="I106" t="s">
        <v>21</v>
      </c>
      <c r="J106">
        <v>25</v>
      </c>
      <c r="K106">
        <v>2</v>
      </c>
      <c r="L106">
        <v>2</v>
      </c>
      <c r="M106">
        <v>0.1</v>
      </c>
      <c r="N106">
        <v>500</v>
      </c>
      <c r="O106">
        <v>1.0954176590415481</v>
      </c>
      <c r="P106">
        <v>6.9974671095948523E-7</v>
      </c>
      <c r="Q106">
        <v>25</v>
      </c>
      <c r="R106">
        <v>5.8</v>
      </c>
      <c r="S106">
        <v>4</v>
      </c>
      <c r="T106">
        <v>3.5</v>
      </c>
      <c r="U106">
        <v>0.7</v>
      </c>
      <c r="V106">
        <v>0.5</v>
      </c>
      <c r="W106">
        <v>0</v>
      </c>
      <c r="X106">
        <v>0.35</v>
      </c>
      <c r="Y106">
        <v>0</v>
      </c>
      <c r="Z106">
        <v>0</v>
      </c>
      <c r="AA106">
        <v>0.06</v>
      </c>
      <c r="AB106">
        <v>0</v>
      </c>
      <c r="AC106">
        <v>0</v>
      </c>
    </row>
    <row r="107" spans="1:29" x14ac:dyDescent="0.3">
      <c r="A107" t="s">
        <v>23</v>
      </c>
      <c r="B107" t="s">
        <v>139</v>
      </c>
      <c r="C107" t="s">
        <v>9</v>
      </c>
      <c r="D107">
        <v>25</v>
      </c>
      <c r="E107">
        <v>76</v>
      </c>
      <c r="F107">
        <v>2</v>
      </c>
      <c r="G107">
        <v>1030</v>
      </c>
      <c r="H107">
        <v>1</v>
      </c>
      <c r="I107" t="s">
        <v>21</v>
      </c>
      <c r="J107">
        <v>25</v>
      </c>
      <c r="K107">
        <v>2</v>
      </c>
      <c r="L107">
        <v>2</v>
      </c>
      <c r="M107">
        <v>0.1</v>
      </c>
      <c r="N107">
        <v>500</v>
      </c>
      <c r="O107">
        <v>1.0990496935708529</v>
      </c>
      <c r="P107">
        <v>6.9974671095948523E-7</v>
      </c>
      <c r="Q107">
        <v>25</v>
      </c>
      <c r="R107">
        <v>5.8</v>
      </c>
      <c r="S107">
        <v>4</v>
      </c>
      <c r="T107">
        <v>3.5</v>
      </c>
      <c r="U107">
        <v>0.7</v>
      </c>
      <c r="V107">
        <v>0.5</v>
      </c>
      <c r="W107">
        <v>0</v>
      </c>
      <c r="X107">
        <v>0.35</v>
      </c>
      <c r="Y107">
        <v>0</v>
      </c>
      <c r="Z107">
        <v>0</v>
      </c>
      <c r="AA107">
        <v>0.06</v>
      </c>
      <c r="AB107">
        <v>0</v>
      </c>
      <c r="AC107">
        <v>0</v>
      </c>
    </row>
    <row r="108" spans="1:29" x14ac:dyDescent="0.3">
      <c r="A108" t="s">
        <v>23</v>
      </c>
      <c r="B108" t="s">
        <v>139</v>
      </c>
      <c r="C108" t="s">
        <v>4</v>
      </c>
      <c r="D108">
        <v>25</v>
      </c>
      <c r="E108">
        <v>76</v>
      </c>
      <c r="F108">
        <v>2</v>
      </c>
      <c r="G108">
        <v>1030</v>
      </c>
      <c r="H108">
        <v>1</v>
      </c>
      <c r="I108" t="s">
        <v>21</v>
      </c>
      <c r="J108">
        <v>800</v>
      </c>
      <c r="K108">
        <v>1</v>
      </c>
      <c r="L108">
        <v>2</v>
      </c>
      <c r="M108">
        <v>0.1</v>
      </c>
      <c r="N108">
        <v>500</v>
      </c>
      <c r="O108">
        <v>0.84067843814524923</v>
      </c>
      <c r="P108">
        <v>6.9974671095948523E-7</v>
      </c>
      <c r="Q108">
        <v>25</v>
      </c>
      <c r="R108">
        <v>5.8</v>
      </c>
      <c r="S108">
        <v>4</v>
      </c>
      <c r="T108">
        <v>3.5</v>
      </c>
      <c r="U108">
        <v>0.7</v>
      </c>
      <c r="V108">
        <v>0.5</v>
      </c>
      <c r="W108">
        <v>0</v>
      </c>
      <c r="X108">
        <v>0.35</v>
      </c>
      <c r="Y108">
        <v>0</v>
      </c>
      <c r="Z108">
        <v>0</v>
      </c>
      <c r="AA108">
        <v>0.06</v>
      </c>
      <c r="AB108">
        <v>0</v>
      </c>
      <c r="AC108">
        <v>0</v>
      </c>
    </row>
    <row r="109" spans="1:29" x14ac:dyDescent="0.3">
      <c r="A109" t="s">
        <v>23</v>
      </c>
      <c r="B109" t="s">
        <v>139</v>
      </c>
      <c r="C109" t="s">
        <v>4</v>
      </c>
      <c r="D109">
        <v>25</v>
      </c>
      <c r="E109">
        <v>76</v>
      </c>
      <c r="F109">
        <v>2</v>
      </c>
      <c r="G109">
        <v>1030</v>
      </c>
      <c r="H109">
        <v>1</v>
      </c>
      <c r="I109" t="s">
        <v>21</v>
      </c>
      <c r="J109">
        <v>1000</v>
      </c>
      <c r="K109">
        <v>1</v>
      </c>
      <c r="L109">
        <v>2</v>
      </c>
      <c r="M109">
        <v>0.1</v>
      </c>
      <c r="N109">
        <v>500</v>
      </c>
      <c r="O109">
        <v>1.0099075945242479</v>
      </c>
      <c r="P109">
        <v>6.9974671095948523E-7</v>
      </c>
      <c r="Q109">
        <v>25</v>
      </c>
      <c r="R109">
        <v>5.8</v>
      </c>
      <c r="S109">
        <v>4</v>
      </c>
      <c r="T109">
        <v>3.5</v>
      </c>
      <c r="U109">
        <v>0.7</v>
      </c>
      <c r="V109">
        <v>0.5</v>
      </c>
      <c r="W109">
        <v>0</v>
      </c>
      <c r="X109">
        <v>0.35</v>
      </c>
      <c r="Y109">
        <v>0</v>
      </c>
      <c r="Z109">
        <v>0</v>
      </c>
      <c r="AA109">
        <v>0.06</v>
      </c>
      <c r="AB109">
        <v>0</v>
      </c>
      <c r="AC109">
        <v>0</v>
      </c>
    </row>
    <row r="110" spans="1:29" x14ac:dyDescent="0.3">
      <c r="A110" t="s">
        <v>31</v>
      </c>
      <c r="B110" t="s">
        <v>139</v>
      </c>
      <c r="C110" t="s">
        <v>4</v>
      </c>
      <c r="D110">
        <v>25</v>
      </c>
      <c r="E110">
        <v>76</v>
      </c>
      <c r="F110">
        <v>2</v>
      </c>
      <c r="G110">
        <v>25</v>
      </c>
      <c r="H110">
        <v>2</v>
      </c>
      <c r="I110" t="s">
        <v>21</v>
      </c>
      <c r="J110">
        <v>595</v>
      </c>
      <c r="K110">
        <v>8</v>
      </c>
      <c r="L110">
        <v>2</v>
      </c>
      <c r="M110">
        <v>0</v>
      </c>
      <c r="N110">
        <v>400</v>
      </c>
      <c r="O110">
        <v>0.95917011249040085</v>
      </c>
      <c r="P110">
        <v>6.9461288534764957E-7</v>
      </c>
      <c r="Q110">
        <v>25</v>
      </c>
      <c r="R110">
        <v>6</v>
      </c>
      <c r="S110">
        <v>2</v>
      </c>
      <c r="T110">
        <v>4</v>
      </c>
      <c r="U110">
        <v>0</v>
      </c>
      <c r="V110">
        <v>2</v>
      </c>
      <c r="W110">
        <v>0</v>
      </c>
      <c r="X110">
        <v>0.1</v>
      </c>
      <c r="Y110">
        <v>0</v>
      </c>
      <c r="Z110">
        <v>0</v>
      </c>
      <c r="AA110">
        <v>0</v>
      </c>
      <c r="AB110">
        <v>0</v>
      </c>
      <c r="AC110">
        <v>0</v>
      </c>
    </row>
    <row r="111" spans="1:29" x14ac:dyDescent="0.3">
      <c r="A111" t="s">
        <v>32</v>
      </c>
      <c r="B111" t="s">
        <v>139</v>
      </c>
      <c r="C111" t="s">
        <v>4</v>
      </c>
      <c r="D111">
        <v>25</v>
      </c>
      <c r="E111">
        <v>76</v>
      </c>
      <c r="F111">
        <v>2</v>
      </c>
      <c r="G111">
        <v>25</v>
      </c>
      <c r="H111">
        <v>2</v>
      </c>
      <c r="I111" t="s">
        <v>21</v>
      </c>
      <c r="J111">
        <v>595</v>
      </c>
      <c r="K111">
        <v>8</v>
      </c>
      <c r="L111">
        <v>2</v>
      </c>
      <c r="M111">
        <v>0</v>
      </c>
      <c r="N111">
        <v>394</v>
      </c>
      <c r="O111">
        <v>0.95917011249040085</v>
      </c>
      <c r="P111">
        <v>6.9426653351660328E-7</v>
      </c>
      <c r="Q111">
        <v>25</v>
      </c>
      <c r="R111">
        <v>6</v>
      </c>
      <c r="S111">
        <v>2</v>
      </c>
      <c r="T111">
        <v>4</v>
      </c>
      <c r="U111">
        <v>0</v>
      </c>
      <c r="V111">
        <v>2</v>
      </c>
      <c r="W111">
        <v>0</v>
      </c>
      <c r="X111">
        <v>0.1</v>
      </c>
      <c r="Y111">
        <v>0</v>
      </c>
      <c r="Z111">
        <v>0</v>
      </c>
      <c r="AA111">
        <v>0</v>
      </c>
      <c r="AB111">
        <v>0</v>
      </c>
      <c r="AC111">
        <v>0</v>
      </c>
    </row>
    <row r="112" spans="1:29" x14ac:dyDescent="0.3">
      <c r="A112" t="s">
        <v>33</v>
      </c>
      <c r="B112" t="s">
        <v>139</v>
      </c>
      <c r="C112" t="s">
        <v>4</v>
      </c>
      <c r="D112">
        <v>25</v>
      </c>
      <c r="E112">
        <v>76</v>
      </c>
      <c r="F112">
        <v>2</v>
      </c>
      <c r="G112">
        <v>25</v>
      </c>
      <c r="H112">
        <v>2</v>
      </c>
      <c r="I112" t="s">
        <v>21</v>
      </c>
      <c r="J112">
        <v>595</v>
      </c>
      <c r="K112">
        <v>8</v>
      </c>
      <c r="L112">
        <v>2</v>
      </c>
      <c r="M112">
        <v>0</v>
      </c>
      <c r="N112">
        <v>400</v>
      </c>
      <c r="O112">
        <v>0.95917011249040085</v>
      </c>
      <c r="P112">
        <v>6.9461288534764957E-7</v>
      </c>
      <c r="Q112">
        <v>25</v>
      </c>
      <c r="R112">
        <v>6</v>
      </c>
      <c r="S112">
        <v>2</v>
      </c>
      <c r="T112">
        <v>4</v>
      </c>
      <c r="U112">
        <v>0</v>
      </c>
      <c r="V112">
        <v>2</v>
      </c>
      <c r="W112">
        <v>0</v>
      </c>
      <c r="X112">
        <v>0.1</v>
      </c>
      <c r="Y112">
        <v>0</v>
      </c>
      <c r="Z112">
        <v>0</v>
      </c>
      <c r="AA112">
        <v>0</v>
      </c>
      <c r="AB112">
        <v>0</v>
      </c>
      <c r="AC112">
        <v>0</v>
      </c>
    </row>
    <row r="113" spans="1:29" x14ac:dyDescent="0.3">
      <c r="A113" t="s">
        <v>34</v>
      </c>
      <c r="B113" t="s">
        <v>139</v>
      </c>
      <c r="C113" t="s">
        <v>4</v>
      </c>
      <c r="D113">
        <v>25</v>
      </c>
      <c r="E113">
        <v>76</v>
      </c>
      <c r="F113">
        <v>2</v>
      </c>
      <c r="G113">
        <v>25</v>
      </c>
      <c r="H113">
        <v>2</v>
      </c>
      <c r="I113" t="s">
        <v>21</v>
      </c>
      <c r="J113">
        <v>600</v>
      </c>
      <c r="K113">
        <v>4</v>
      </c>
      <c r="L113">
        <v>2</v>
      </c>
      <c r="M113">
        <v>0</v>
      </c>
      <c r="N113">
        <v>400</v>
      </c>
      <c r="O113">
        <v>0.56079011098986997</v>
      </c>
      <c r="P113">
        <v>6.9461288534764957E-7</v>
      </c>
      <c r="Q113">
        <v>25</v>
      </c>
      <c r="R113">
        <v>8.9600000000000009</v>
      </c>
      <c r="S113">
        <v>0</v>
      </c>
      <c r="T113">
        <v>0</v>
      </c>
      <c r="U113">
        <v>0</v>
      </c>
      <c r="V113">
        <v>0</v>
      </c>
      <c r="W113">
        <v>3.83</v>
      </c>
      <c r="X113">
        <v>0</v>
      </c>
      <c r="Y113">
        <v>0.16</v>
      </c>
      <c r="Z113">
        <v>0.12</v>
      </c>
      <c r="AA113">
        <v>0.01</v>
      </c>
      <c r="AB113">
        <v>8.9999999999999993E-3</v>
      </c>
      <c r="AC113">
        <v>1.6000000000000001E-3</v>
      </c>
    </row>
    <row r="114" spans="1:29" x14ac:dyDescent="0.3">
      <c r="A114" t="s">
        <v>30</v>
      </c>
      <c r="B114" t="s">
        <v>139</v>
      </c>
      <c r="C114" t="s">
        <v>4</v>
      </c>
      <c r="D114">
        <v>25</v>
      </c>
      <c r="E114">
        <v>76</v>
      </c>
      <c r="F114">
        <v>2</v>
      </c>
      <c r="G114">
        <v>25</v>
      </c>
      <c r="H114">
        <v>2</v>
      </c>
      <c r="I114" t="s">
        <v>21</v>
      </c>
      <c r="J114">
        <v>850</v>
      </c>
      <c r="K114">
        <v>4</v>
      </c>
      <c r="L114">
        <v>2</v>
      </c>
      <c r="M114">
        <v>0</v>
      </c>
      <c r="N114">
        <v>394</v>
      </c>
      <c r="O114">
        <v>0.64232730322787057</v>
      </c>
      <c r="P114">
        <v>6.9426653351660328E-7</v>
      </c>
      <c r="Q114">
        <v>25</v>
      </c>
      <c r="R114">
        <v>8.9600000000000009</v>
      </c>
      <c r="S114">
        <v>0</v>
      </c>
      <c r="T114">
        <v>0</v>
      </c>
      <c r="U114">
        <v>0</v>
      </c>
      <c r="V114">
        <v>0</v>
      </c>
      <c r="W114">
        <v>3.83</v>
      </c>
      <c r="X114">
        <v>0</v>
      </c>
      <c r="Y114">
        <v>0.16</v>
      </c>
      <c r="Z114">
        <v>0.12</v>
      </c>
      <c r="AA114">
        <v>0.01</v>
      </c>
      <c r="AB114">
        <v>8.9999999999999993E-3</v>
      </c>
      <c r="AC114">
        <v>1.6000000000000001E-3</v>
      </c>
    </row>
    <row r="115" spans="1:29" x14ac:dyDescent="0.3">
      <c r="A115" t="s">
        <v>35</v>
      </c>
      <c r="B115" t="s">
        <v>139</v>
      </c>
      <c r="C115" t="s">
        <v>4</v>
      </c>
      <c r="D115">
        <v>25</v>
      </c>
      <c r="E115">
        <v>76</v>
      </c>
      <c r="F115">
        <v>2</v>
      </c>
      <c r="G115">
        <v>970</v>
      </c>
      <c r="H115">
        <v>0.5</v>
      </c>
      <c r="I115" t="s">
        <v>21</v>
      </c>
      <c r="J115">
        <v>700</v>
      </c>
      <c r="K115">
        <v>0.5</v>
      </c>
      <c r="L115">
        <v>2</v>
      </c>
      <c r="M115">
        <v>-1</v>
      </c>
      <c r="N115">
        <v>500.68900000000002</v>
      </c>
      <c r="O115">
        <v>0.58980591855772457</v>
      </c>
      <c r="P115">
        <v>6.9977851005987827E-7</v>
      </c>
      <c r="Q115">
        <v>25</v>
      </c>
      <c r="R115">
        <v>6.22</v>
      </c>
      <c r="S115">
        <v>0</v>
      </c>
      <c r="T115">
        <v>0</v>
      </c>
      <c r="U115">
        <v>0</v>
      </c>
      <c r="V115">
        <v>0</v>
      </c>
      <c r="W115">
        <v>4.01</v>
      </c>
      <c r="X115">
        <v>0</v>
      </c>
      <c r="Y115">
        <v>0.2</v>
      </c>
      <c r="Z115">
        <v>0.2</v>
      </c>
      <c r="AA115">
        <v>0.02</v>
      </c>
      <c r="AB115">
        <v>0.01</v>
      </c>
      <c r="AC115">
        <v>1E-3</v>
      </c>
    </row>
    <row r="116" spans="1:29" x14ac:dyDescent="0.3">
      <c r="A116" t="s">
        <v>36</v>
      </c>
      <c r="B116" t="s">
        <v>139</v>
      </c>
      <c r="C116" t="s">
        <v>4</v>
      </c>
      <c r="D116">
        <v>25</v>
      </c>
      <c r="E116">
        <v>76</v>
      </c>
      <c r="F116">
        <v>2</v>
      </c>
      <c r="G116">
        <v>970</v>
      </c>
      <c r="H116">
        <v>0.5</v>
      </c>
      <c r="I116" t="s">
        <v>21</v>
      </c>
      <c r="J116">
        <v>700</v>
      </c>
      <c r="K116">
        <v>0.5</v>
      </c>
      <c r="L116">
        <v>2</v>
      </c>
      <c r="M116">
        <v>-1</v>
      </c>
      <c r="N116">
        <v>459.61399999999998</v>
      </c>
      <c r="O116">
        <v>0.58980591855772457</v>
      </c>
      <c r="P116">
        <v>6.9780460779774823E-7</v>
      </c>
      <c r="Q116">
        <v>25</v>
      </c>
      <c r="R116">
        <v>6.22</v>
      </c>
      <c r="S116">
        <v>0</v>
      </c>
      <c r="T116">
        <v>0</v>
      </c>
      <c r="U116">
        <v>0</v>
      </c>
      <c r="V116">
        <v>0</v>
      </c>
      <c r="W116">
        <v>4.01</v>
      </c>
      <c r="X116">
        <v>0</v>
      </c>
      <c r="Y116">
        <v>0.2</v>
      </c>
      <c r="Z116">
        <v>0.2</v>
      </c>
      <c r="AA116">
        <v>0.02</v>
      </c>
      <c r="AB116">
        <v>0.01</v>
      </c>
      <c r="AC116">
        <v>1E-3</v>
      </c>
    </row>
    <row r="117" spans="1:29" x14ac:dyDescent="0.3">
      <c r="A117" t="s">
        <v>37</v>
      </c>
      <c r="B117" t="s">
        <v>139</v>
      </c>
      <c r="C117" t="s">
        <v>4</v>
      </c>
      <c r="D117">
        <v>25</v>
      </c>
      <c r="E117">
        <v>76</v>
      </c>
      <c r="F117">
        <v>2</v>
      </c>
      <c r="G117">
        <v>970</v>
      </c>
      <c r="H117">
        <v>0.5</v>
      </c>
      <c r="I117" t="s">
        <v>21</v>
      </c>
      <c r="J117">
        <v>700</v>
      </c>
      <c r="K117">
        <v>0.5</v>
      </c>
      <c r="L117">
        <v>2</v>
      </c>
      <c r="M117">
        <v>-1</v>
      </c>
      <c r="N117">
        <v>430.93799999999999</v>
      </c>
      <c r="O117">
        <v>0.58980591855772457</v>
      </c>
      <c r="P117">
        <v>6.963226847179838E-7</v>
      </c>
      <c r="Q117">
        <v>25</v>
      </c>
      <c r="R117">
        <v>6.22</v>
      </c>
      <c r="S117">
        <v>0</v>
      </c>
      <c r="T117">
        <v>0</v>
      </c>
      <c r="U117">
        <v>0</v>
      </c>
      <c r="V117">
        <v>0</v>
      </c>
      <c r="W117">
        <v>4.01</v>
      </c>
      <c r="X117">
        <v>0</v>
      </c>
      <c r="Y117">
        <v>0.2</v>
      </c>
      <c r="Z117">
        <v>0.2</v>
      </c>
      <c r="AA117">
        <v>0.02</v>
      </c>
      <c r="AB117">
        <v>0.01</v>
      </c>
      <c r="AC117">
        <v>1E-3</v>
      </c>
    </row>
    <row r="118" spans="1:29" x14ac:dyDescent="0.3">
      <c r="A118" t="s">
        <v>38</v>
      </c>
      <c r="B118" t="s">
        <v>139</v>
      </c>
      <c r="C118" t="s">
        <v>4</v>
      </c>
      <c r="D118">
        <v>25</v>
      </c>
      <c r="E118">
        <v>76</v>
      </c>
      <c r="F118">
        <v>2</v>
      </c>
      <c r="G118">
        <v>970</v>
      </c>
      <c r="H118">
        <v>0.5</v>
      </c>
      <c r="I118" t="s">
        <v>21</v>
      </c>
      <c r="J118">
        <v>700</v>
      </c>
      <c r="K118">
        <v>0.5</v>
      </c>
      <c r="L118">
        <v>2</v>
      </c>
      <c r="M118">
        <v>-1</v>
      </c>
      <c r="N118">
        <v>400.54</v>
      </c>
      <c r="O118">
        <v>0.58980591855772457</v>
      </c>
      <c r="P118">
        <v>6.9464381017097496E-7</v>
      </c>
      <c r="Q118">
        <v>25</v>
      </c>
      <c r="R118">
        <v>6.22</v>
      </c>
      <c r="S118">
        <v>0</v>
      </c>
      <c r="T118">
        <v>0</v>
      </c>
      <c r="U118">
        <v>0</v>
      </c>
      <c r="V118">
        <v>0</v>
      </c>
      <c r="W118">
        <v>4.01</v>
      </c>
      <c r="X118">
        <v>0</v>
      </c>
      <c r="Y118">
        <v>0.2</v>
      </c>
      <c r="Z118">
        <v>0.2</v>
      </c>
      <c r="AA118">
        <v>0.02</v>
      </c>
      <c r="AB118">
        <v>0.01</v>
      </c>
      <c r="AC118">
        <v>1E-3</v>
      </c>
    </row>
    <row r="119" spans="1:29" x14ac:dyDescent="0.3">
      <c r="A119" t="s">
        <v>39</v>
      </c>
      <c r="B119" t="s">
        <v>139</v>
      </c>
      <c r="C119" t="s">
        <v>4</v>
      </c>
      <c r="D119">
        <v>25</v>
      </c>
      <c r="E119">
        <v>76</v>
      </c>
      <c r="F119">
        <v>2</v>
      </c>
      <c r="G119">
        <v>970</v>
      </c>
      <c r="H119">
        <v>0.5</v>
      </c>
      <c r="I119" t="s">
        <v>21</v>
      </c>
      <c r="J119">
        <v>700</v>
      </c>
      <c r="K119">
        <v>0.5</v>
      </c>
      <c r="L119">
        <v>2</v>
      </c>
      <c r="M119">
        <v>-1</v>
      </c>
      <c r="N119">
        <v>369.69</v>
      </c>
      <c r="O119">
        <v>0.58980591855772457</v>
      </c>
      <c r="P119">
        <v>6.9280896664195651E-7</v>
      </c>
      <c r="Q119">
        <v>25</v>
      </c>
      <c r="R119">
        <v>6.22</v>
      </c>
      <c r="S119">
        <v>0</v>
      </c>
      <c r="T119">
        <v>0</v>
      </c>
      <c r="U119">
        <v>0</v>
      </c>
      <c r="V119">
        <v>0</v>
      </c>
      <c r="W119">
        <v>4.01</v>
      </c>
      <c r="X119">
        <v>0</v>
      </c>
      <c r="Y119">
        <v>0.2</v>
      </c>
      <c r="Z119">
        <v>0.2</v>
      </c>
      <c r="AA119">
        <v>0.02</v>
      </c>
      <c r="AB119">
        <v>0.01</v>
      </c>
      <c r="AC119">
        <v>1E-3</v>
      </c>
    </row>
    <row r="120" spans="1:29" x14ac:dyDescent="0.3">
      <c r="A120" t="s">
        <v>40</v>
      </c>
      <c r="B120" t="s">
        <v>139</v>
      </c>
      <c r="C120" t="s">
        <v>4</v>
      </c>
      <c r="D120">
        <v>25</v>
      </c>
      <c r="E120">
        <v>76</v>
      </c>
      <c r="F120">
        <v>2</v>
      </c>
      <c r="G120">
        <v>970</v>
      </c>
      <c r="H120">
        <v>0.5</v>
      </c>
      <c r="I120" t="s">
        <v>21</v>
      </c>
      <c r="J120">
        <v>700</v>
      </c>
      <c r="K120">
        <v>0.5</v>
      </c>
      <c r="L120">
        <v>2</v>
      </c>
      <c r="M120">
        <v>-1</v>
      </c>
      <c r="N120">
        <v>340.71</v>
      </c>
      <c r="O120">
        <v>0.58980591855772457</v>
      </c>
      <c r="P120">
        <v>6.9094512458622729E-7</v>
      </c>
      <c r="Q120">
        <v>25</v>
      </c>
      <c r="R120">
        <v>6.22</v>
      </c>
      <c r="S120">
        <v>0</v>
      </c>
      <c r="T120">
        <v>0</v>
      </c>
      <c r="U120">
        <v>0</v>
      </c>
      <c r="V120">
        <v>0</v>
      </c>
      <c r="W120">
        <v>4.01</v>
      </c>
      <c r="X120">
        <v>0</v>
      </c>
      <c r="Y120">
        <v>0.2</v>
      </c>
      <c r="Z120">
        <v>0.2</v>
      </c>
      <c r="AA120">
        <v>0.02</v>
      </c>
      <c r="AB120">
        <v>0.01</v>
      </c>
      <c r="AC120">
        <v>1E-3</v>
      </c>
    </row>
    <row r="121" spans="1:29" x14ac:dyDescent="0.3">
      <c r="A121" t="s">
        <v>41</v>
      </c>
      <c r="B121" t="s">
        <v>139</v>
      </c>
      <c r="C121" t="s">
        <v>4</v>
      </c>
      <c r="D121">
        <v>25</v>
      </c>
      <c r="E121">
        <v>76</v>
      </c>
      <c r="F121">
        <v>2</v>
      </c>
      <c r="G121">
        <v>25</v>
      </c>
      <c r="H121">
        <v>2</v>
      </c>
      <c r="I121" t="s">
        <v>21</v>
      </c>
      <c r="J121">
        <v>0</v>
      </c>
      <c r="K121">
        <v>0</v>
      </c>
      <c r="L121">
        <v>2</v>
      </c>
      <c r="M121">
        <v>-1</v>
      </c>
      <c r="N121">
        <v>675</v>
      </c>
      <c r="O121">
        <v>1.0039005497071301</v>
      </c>
      <c r="P121">
        <v>7.0671104717168542E-7</v>
      </c>
      <c r="Q121">
        <v>25</v>
      </c>
      <c r="R121">
        <v>5.8</v>
      </c>
      <c r="S121">
        <v>4</v>
      </c>
      <c r="T121">
        <v>3.72</v>
      </c>
      <c r="U121">
        <v>0.69</v>
      </c>
      <c r="V121">
        <v>0.54</v>
      </c>
      <c r="W121">
        <v>0</v>
      </c>
      <c r="X121">
        <v>0.34</v>
      </c>
      <c r="Y121">
        <v>8.9999999999999993E-3</v>
      </c>
      <c r="Z121">
        <v>0.105</v>
      </c>
      <c r="AA121">
        <v>0.05</v>
      </c>
      <c r="AB121">
        <v>2.5000000000000001E-3</v>
      </c>
      <c r="AC121">
        <v>4.0000000000000001E-3</v>
      </c>
    </row>
    <row r="122" spans="1:29" x14ac:dyDescent="0.3">
      <c r="A122" t="s">
        <v>42</v>
      </c>
      <c r="B122" t="s">
        <v>139</v>
      </c>
      <c r="C122" t="s">
        <v>4</v>
      </c>
      <c r="D122">
        <v>25</v>
      </c>
      <c r="E122">
        <v>76</v>
      </c>
      <c r="F122">
        <v>2</v>
      </c>
      <c r="G122">
        <v>932</v>
      </c>
      <c r="H122">
        <v>0</v>
      </c>
      <c r="I122" t="s">
        <v>21</v>
      </c>
      <c r="J122">
        <v>704</v>
      </c>
      <c r="K122">
        <v>2</v>
      </c>
      <c r="L122">
        <v>2</v>
      </c>
      <c r="M122">
        <v>-1</v>
      </c>
      <c r="N122">
        <v>450</v>
      </c>
      <c r="O122">
        <v>0.56079011098986997</v>
      </c>
      <c r="P122">
        <v>6.9731798836356995E-7</v>
      </c>
      <c r="Q122">
        <v>25</v>
      </c>
      <c r="R122">
        <v>6.27</v>
      </c>
      <c r="S122">
        <v>0</v>
      </c>
      <c r="T122">
        <v>0</v>
      </c>
      <c r="U122">
        <v>0</v>
      </c>
      <c r="V122">
        <v>0</v>
      </c>
      <c r="W122">
        <v>4.1900000000000004</v>
      </c>
      <c r="X122">
        <v>0</v>
      </c>
      <c r="Y122">
        <v>0.2</v>
      </c>
      <c r="Z122">
        <v>0.18</v>
      </c>
      <c r="AA122">
        <v>0</v>
      </c>
      <c r="AB122">
        <v>1.2E-2</v>
      </c>
      <c r="AC122">
        <v>0</v>
      </c>
    </row>
    <row r="123" spans="1:29" x14ac:dyDescent="0.3">
      <c r="A123" t="s">
        <v>43</v>
      </c>
      <c r="B123" t="s">
        <v>139</v>
      </c>
      <c r="C123" t="s">
        <v>4</v>
      </c>
      <c r="D123">
        <v>25</v>
      </c>
      <c r="E123">
        <v>76</v>
      </c>
      <c r="F123">
        <v>2</v>
      </c>
      <c r="G123">
        <v>932</v>
      </c>
      <c r="H123">
        <v>0</v>
      </c>
      <c r="I123" t="s">
        <v>21</v>
      </c>
      <c r="J123">
        <v>704</v>
      </c>
      <c r="K123">
        <v>2</v>
      </c>
      <c r="L123">
        <v>2</v>
      </c>
      <c r="M123">
        <v>0.1</v>
      </c>
      <c r="N123">
        <v>667</v>
      </c>
      <c r="O123">
        <v>0.56079011098986997</v>
      </c>
      <c r="P123">
        <v>7.0643304832243352E-7</v>
      </c>
      <c r="Q123">
        <v>25</v>
      </c>
      <c r="R123">
        <v>6.27</v>
      </c>
      <c r="S123">
        <v>0</v>
      </c>
      <c r="T123">
        <v>0</v>
      </c>
      <c r="U123">
        <v>0</v>
      </c>
      <c r="V123">
        <v>0</v>
      </c>
      <c r="W123">
        <v>4.1900000000000004</v>
      </c>
      <c r="X123">
        <v>0</v>
      </c>
      <c r="Y123">
        <v>0.2</v>
      </c>
      <c r="Z123">
        <v>0.18</v>
      </c>
      <c r="AA123">
        <v>0</v>
      </c>
      <c r="AB123">
        <v>1.2E-2</v>
      </c>
      <c r="AC123">
        <v>0</v>
      </c>
    </row>
    <row r="124" spans="1:29" x14ac:dyDescent="0.3">
      <c r="A124" t="s">
        <v>44</v>
      </c>
      <c r="B124" t="s">
        <v>139</v>
      </c>
      <c r="C124" t="s">
        <v>4</v>
      </c>
      <c r="D124">
        <v>25</v>
      </c>
      <c r="E124">
        <v>76</v>
      </c>
      <c r="F124">
        <v>2</v>
      </c>
      <c r="G124">
        <v>932</v>
      </c>
      <c r="H124">
        <v>0</v>
      </c>
      <c r="I124" t="s">
        <v>21</v>
      </c>
      <c r="J124">
        <v>704</v>
      </c>
      <c r="K124">
        <v>2</v>
      </c>
      <c r="L124">
        <v>2</v>
      </c>
      <c r="M124">
        <v>0.5</v>
      </c>
      <c r="N124">
        <v>860</v>
      </c>
      <c r="O124">
        <v>0.56079011098986997</v>
      </c>
      <c r="P124">
        <v>7.123826021636268E-7</v>
      </c>
      <c r="Q124">
        <v>25</v>
      </c>
      <c r="R124">
        <v>6.27</v>
      </c>
      <c r="S124">
        <v>0</v>
      </c>
      <c r="T124">
        <v>0</v>
      </c>
      <c r="U124">
        <v>0</v>
      </c>
      <c r="V124">
        <v>0</v>
      </c>
      <c r="W124">
        <v>4.1900000000000004</v>
      </c>
      <c r="X124">
        <v>0</v>
      </c>
      <c r="Y124">
        <v>0.2</v>
      </c>
      <c r="Z124">
        <v>0.18</v>
      </c>
      <c r="AA124">
        <v>0</v>
      </c>
      <c r="AB124">
        <v>1.2E-2</v>
      </c>
      <c r="AC124">
        <v>0</v>
      </c>
    </row>
    <row r="125" spans="1:29" x14ac:dyDescent="0.3">
      <c r="A125" t="s">
        <v>45</v>
      </c>
      <c r="B125" t="s">
        <v>139</v>
      </c>
      <c r="C125" t="s">
        <v>4</v>
      </c>
      <c r="D125">
        <v>25</v>
      </c>
      <c r="E125">
        <v>76</v>
      </c>
      <c r="F125">
        <v>2</v>
      </c>
      <c r="G125">
        <v>932</v>
      </c>
      <c r="H125">
        <v>0</v>
      </c>
      <c r="I125" t="s">
        <v>21</v>
      </c>
      <c r="J125">
        <v>704</v>
      </c>
      <c r="K125">
        <v>2</v>
      </c>
      <c r="L125">
        <v>2</v>
      </c>
      <c r="M125">
        <v>0.8</v>
      </c>
      <c r="N125">
        <v>950</v>
      </c>
      <c r="O125">
        <v>0.53784992938427523</v>
      </c>
      <c r="P125">
        <v>7.1472625290994394E-7</v>
      </c>
      <c r="Q125">
        <v>25</v>
      </c>
      <c r="R125">
        <v>6.27</v>
      </c>
      <c r="S125">
        <v>0</v>
      </c>
      <c r="T125">
        <v>0</v>
      </c>
      <c r="U125">
        <v>0</v>
      </c>
      <c r="V125">
        <v>0</v>
      </c>
      <c r="W125">
        <v>4.1900000000000004</v>
      </c>
      <c r="X125">
        <v>0</v>
      </c>
      <c r="Y125">
        <v>0.2</v>
      </c>
      <c r="Z125">
        <v>0.18</v>
      </c>
      <c r="AA125">
        <v>0</v>
      </c>
      <c r="AB125">
        <v>1.2E-2</v>
      </c>
      <c r="AC125">
        <v>0</v>
      </c>
    </row>
    <row r="126" spans="1:29" x14ac:dyDescent="0.3">
      <c r="A126" t="s">
        <v>46</v>
      </c>
      <c r="B126" t="s">
        <v>139</v>
      </c>
      <c r="C126" t="s">
        <v>4</v>
      </c>
      <c r="D126">
        <v>25</v>
      </c>
      <c r="E126">
        <v>76</v>
      </c>
      <c r="F126">
        <v>2</v>
      </c>
      <c r="G126">
        <v>925</v>
      </c>
      <c r="H126">
        <v>1</v>
      </c>
      <c r="I126" t="s">
        <v>21</v>
      </c>
      <c r="J126">
        <v>700</v>
      </c>
      <c r="K126">
        <v>2</v>
      </c>
      <c r="L126">
        <v>2</v>
      </c>
      <c r="M126">
        <v>0.1</v>
      </c>
      <c r="N126">
        <v>700</v>
      </c>
      <c r="O126">
        <v>0.56079011098986997</v>
      </c>
      <c r="P126">
        <v>7.0755970304400871E-7</v>
      </c>
      <c r="Q126">
        <v>25</v>
      </c>
      <c r="R126">
        <v>6.27</v>
      </c>
      <c r="S126">
        <v>0</v>
      </c>
      <c r="T126">
        <v>0</v>
      </c>
      <c r="U126">
        <v>0</v>
      </c>
      <c r="V126">
        <v>0</v>
      </c>
      <c r="W126">
        <v>4.1900000000000004</v>
      </c>
      <c r="X126">
        <v>0</v>
      </c>
      <c r="Y126">
        <v>0.2</v>
      </c>
      <c r="Z126">
        <v>0.18</v>
      </c>
      <c r="AA126">
        <v>0</v>
      </c>
      <c r="AB126">
        <v>1.2E-2</v>
      </c>
      <c r="AC126">
        <v>4.1000000000000003E-3</v>
      </c>
    </row>
    <row r="127" spans="1:29" x14ac:dyDescent="0.3">
      <c r="A127" t="s">
        <v>47</v>
      </c>
      <c r="B127" t="s">
        <v>139</v>
      </c>
      <c r="C127" t="s">
        <v>4</v>
      </c>
      <c r="D127">
        <v>25</v>
      </c>
      <c r="E127">
        <v>76</v>
      </c>
      <c r="F127">
        <v>2</v>
      </c>
      <c r="G127">
        <v>925</v>
      </c>
      <c r="H127">
        <v>1</v>
      </c>
      <c r="I127" t="s">
        <v>21</v>
      </c>
      <c r="J127">
        <v>700</v>
      </c>
      <c r="K127">
        <v>2</v>
      </c>
      <c r="L127">
        <v>2</v>
      </c>
      <c r="M127">
        <v>0.5</v>
      </c>
      <c r="N127">
        <v>850</v>
      </c>
      <c r="O127">
        <v>0.56079011098986997</v>
      </c>
      <c r="P127">
        <v>7.1210769739647177E-7</v>
      </c>
      <c r="Q127">
        <v>25</v>
      </c>
      <c r="R127">
        <v>6.27</v>
      </c>
      <c r="S127">
        <v>0</v>
      </c>
      <c r="T127">
        <v>0</v>
      </c>
      <c r="U127">
        <v>0</v>
      </c>
      <c r="V127">
        <v>0</v>
      </c>
      <c r="W127">
        <v>4.1900000000000004</v>
      </c>
      <c r="X127">
        <v>0</v>
      </c>
      <c r="Y127">
        <v>0.2</v>
      </c>
      <c r="Z127">
        <v>0.18</v>
      </c>
      <c r="AA127">
        <v>0</v>
      </c>
      <c r="AB127">
        <v>1.2E-2</v>
      </c>
      <c r="AC127">
        <v>4.1000000000000003E-3</v>
      </c>
    </row>
    <row r="128" spans="1:29" x14ac:dyDescent="0.3">
      <c r="A128" t="s">
        <v>48</v>
      </c>
      <c r="B128" t="s">
        <v>139</v>
      </c>
      <c r="C128" t="s">
        <v>4</v>
      </c>
      <c r="D128">
        <v>25</v>
      </c>
      <c r="E128">
        <v>76</v>
      </c>
      <c r="F128">
        <v>2</v>
      </c>
      <c r="G128">
        <v>925</v>
      </c>
      <c r="H128">
        <v>1</v>
      </c>
      <c r="I128" t="s">
        <v>21</v>
      </c>
      <c r="J128">
        <v>700</v>
      </c>
      <c r="K128">
        <v>2</v>
      </c>
      <c r="L128">
        <v>2</v>
      </c>
      <c r="M128">
        <v>0.1</v>
      </c>
      <c r="N128">
        <v>710</v>
      </c>
      <c r="O128">
        <v>0.53784992938427523</v>
      </c>
      <c r="P128">
        <v>7.0789098428521626E-7</v>
      </c>
      <c r="Q128">
        <v>25</v>
      </c>
      <c r="R128">
        <v>6.27</v>
      </c>
      <c r="S128">
        <v>0</v>
      </c>
      <c r="T128">
        <v>0</v>
      </c>
      <c r="U128">
        <v>0</v>
      </c>
      <c r="V128">
        <v>0</v>
      </c>
      <c r="W128">
        <v>4.1900000000000004</v>
      </c>
      <c r="X128">
        <v>0</v>
      </c>
      <c r="Y128">
        <v>0.2</v>
      </c>
      <c r="Z128">
        <v>0.18</v>
      </c>
      <c r="AA128">
        <v>0</v>
      </c>
      <c r="AB128">
        <v>1.2E-2</v>
      </c>
      <c r="AC128">
        <v>4.1000000000000003E-3</v>
      </c>
    </row>
    <row r="129" spans="1:29" x14ac:dyDescent="0.3">
      <c r="A129" t="s">
        <v>49</v>
      </c>
      <c r="B129" t="s">
        <v>139</v>
      </c>
      <c r="C129" t="s">
        <v>4</v>
      </c>
      <c r="D129">
        <v>25</v>
      </c>
      <c r="E129">
        <v>76</v>
      </c>
      <c r="F129">
        <v>2</v>
      </c>
      <c r="G129">
        <v>25</v>
      </c>
      <c r="H129">
        <v>1</v>
      </c>
      <c r="I129" t="s">
        <v>21</v>
      </c>
      <c r="J129">
        <v>700</v>
      </c>
      <c r="K129">
        <v>2</v>
      </c>
      <c r="L129">
        <v>2</v>
      </c>
      <c r="M129">
        <v>0.1</v>
      </c>
      <c r="N129">
        <v>681</v>
      </c>
      <c r="O129">
        <v>0.56079011098986997</v>
      </c>
      <c r="P129">
        <v>7.0691746329984542E-7</v>
      </c>
      <c r="Q129">
        <v>25</v>
      </c>
      <c r="R129">
        <v>6.3</v>
      </c>
      <c r="S129">
        <v>0</v>
      </c>
      <c r="T129">
        <v>0</v>
      </c>
      <c r="U129">
        <v>0</v>
      </c>
      <c r="V129">
        <v>0</v>
      </c>
      <c r="W129">
        <v>4.2</v>
      </c>
      <c r="X129">
        <v>0</v>
      </c>
      <c r="Y129">
        <v>0.19</v>
      </c>
      <c r="Z129">
        <v>0.19</v>
      </c>
      <c r="AA129">
        <v>0</v>
      </c>
      <c r="AB129">
        <v>1.2999999999999999E-2</v>
      </c>
      <c r="AC129">
        <v>4.1000000000000003E-3</v>
      </c>
    </row>
    <row r="130" spans="1:29" x14ac:dyDescent="0.3">
      <c r="A130" t="s">
        <v>50</v>
      </c>
      <c r="B130" t="s">
        <v>139</v>
      </c>
      <c r="C130" t="s">
        <v>4</v>
      </c>
      <c r="D130">
        <v>25</v>
      </c>
      <c r="E130">
        <v>76</v>
      </c>
      <c r="F130">
        <v>2</v>
      </c>
      <c r="G130">
        <v>25</v>
      </c>
      <c r="H130">
        <v>1</v>
      </c>
      <c r="I130" t="s">
        <v>21</v>
      </c>
      <c r="J130">
        <v>700</v>
      </c>
      <c r="K130">
        <v>2</v>
      </c>
      <c r="L130">
        <v>2</v>
      </c>
      <c r="M130">
        <v>0</v>
      </c>
      <c r="N130">
        <v>725</v>
      </c>
      <c r="O130">
        <v>0.56079011098986997</v>
      </c>
      <c r="P130">
        <v>7.0837954137056693E-7</v>
      </c>
      <c r="Q130">
        <v>25</v>
      </c>
      <c r="R130">
        <v>6.27</v>
      </c>
      <c r="S130">
        <v>0</v>
      </c>
      <c r="T130">
        <v>0</v>
      </c>
      <c r="U130">
        <v>0</v>
      </c>
      <c r="V130">
        <v>0</v>
      </c>
      <c r="W130">
        <v>4.1900000000000004</v>
      </c>
      <c r="X130">
        <v>0</v>
      </c>
      <c r="Y130">
        <v>0.2</v>
      </c>
      <c r="Z130">
        <v>0.18</v>
      </c>
      <c r="AA130">
        <v>0</v>
      </c>
      <c r="AB130">
        <v>1.2E-2</v>
      </c>
      <c r="AC130">
        <v>4.1000000000000003E-3</v>
      </c>
    </row>
    <row r="131" spans="1:29" x14ac:dyDescent="0.3">
      <c r="A131" t="s">
        <v>51</v>
      </c>
      <c r="B131" t="s">
        <v>139</v>
      </c>
      <c r="C131" t="s">
        <v>4</v>
      </c>
      <c r="D131">
        <v>25</v>
      </c>
      <c r="E131">
        <v>76</v>
      </c>
      <c r="F131">
        <v>2</v>
      </c>
      <c r="G131">
        <v>25</v>
      </c>
      <c r="H131">
        <v>1</v>
      </c>
      <c r="I131" t="s">
        <v>21</v>
      </c>
      <c r="J131">
        <v>500</v>
      </c>
      <c r="K131">
        <v>24</v>
      </c>
      <c r="L131">
        <v>2</v>
      </c>
      <c r="M131">
        <v>0</v>
      </c>
      <c r="N131">
        <v>740</v>
      </c>
      <c r="O131">
        <v>0.56079011098986997</v>
      </c>
      <c r="P131">
        <v>7.0885842006057974E-7</v>
      </c>
      <c r="Q131">
        <v>25</v>
      </c>
      <c r="R131">
        <v>6.27</v>
      </c>
      <c r="S131">
        <v>0</v>
      </c>
      <c r="T131">
        <v>0</v>
      </c>
      <c r="U131">
        <v>0</v>
      </c>
      <c r="V131">
        <v>0</v>
      </c>
      <c r="W131">
        <v>4.1900000000000004</v>
      </c>
      <c r="X131">
        <v>0</v>
      </c>
      <c r="Y131">
        <v>0.2</v>
      </c>
      <c r="Z131">
        <v>0.18</v>
      </c>
      <c r="AA131">
        <v>0</v>
      </c>
      <c r="AB131">
        <v>1.2E-2</v>
      </c>
      <c r="AC131">
        <v>4.1000000000000003E-3</v>
      </c>
    </row>
    <row r="132" spans="1:29" x14ac:dyDescent="0.3">
      <c r="A132" t="s">
        <v>52</v>
      </c>
      <c r="B132" t="s">
        <v>139</v>
      </c>
      <c r="C132" t="s">
        <v>4</v>
      </c>
      <c r="D132">
        <v>25</v>
      </c>
      <c r="E132">
        <v>76</v>
      </c>
      <c r="F132">
        <v>2</v>
      </c>
      <c r="G132">
        <v>25</v>
      </c>
      <c r="H132">
        <v>1</v>
      </c>
      <c r="I132" t="s">
        <v>21</v>
      </c>
      <c r="J132">
        <v>500</v>
      </c>
      <c r="K132">
        <v>24</v>
      </c>
      <c r="L132">
        <v>2</v>
      </c>
      <c r="M132">
        <v>0</v>
      </c>
      <c r="N132">
        <v>1100</v>
      </c>
      <c r="O132">
        <v>0.56079011098986997</v>
      </c>
      <c r="P132">
        <v>7.181924152566607E-7</v>
      </c>
      <c r="Q132">
        <v>25</v>
      </c>
      <c r="R132">
        <v>6.27</v>
      </c>
      <c r="S132">
        <v>0</v>
      </c>
      <c r="T132">
        <v>0</v>
      </c>
      <c r="U132">
        <v>0</v>
      </c>
      <c r="V132">
        <v>0</v>
      </c>
      <c r="W132">
        <v>4.1900000000000004</v>
      </c>
      <c r="X132">
        <v>0</v>
      </c>
      <c r="Y132">
        <v>0.2</v>
      </c>
      <c r="Z132">
        <v>0.18</v>
      </c>
      <c r="AA132">
        <v>0</v>
      </c>
      <c r="AB132">
        <v>1.2E-2</v>
      </c>
      <c r="AC132">
        <v>4.1000000000000003E-3</v>
      </c>
    </row>
    <row r="133" spans="1:29" x14ac:dyDescent="0.3">
      <c r="A133" t="s">
        <v>53</v>
      </c>
      <c r="B133" t="s">
        <v>139</v>
      </c>
      <c r="C133" t="s">
        <v>4</v>
      </c>
      <c r="D133">
        <v>25</v>
      </c>
      <c r="E133">
        <v>76</v>
      </c>
      <c r="F133">
        <v>2</v>
      </c>
      <c r="G133">
        <v>25</v>
      </c>
      <c r="H133">
        <v>1</v>
      </c>
      <c r="I133" t="s">
        <v>21</v>
      </c>
      <c r="J133">
        <v>500</v>
      </c>
      <c r="K133">
        <v>24</v>
      </c>
      <c r="L133">
        <v>2</v>
      </c>
      <c r="M133">
        <v>0</v>
      </c>
      <c r="N133">
        <v>740</v>
      </c>
      <c r="O133">
        <v>0.56079011098986997</v>
      </c>
      <c r="P133">
        <v>7.0885842006057974E-7</v>
      </c>
      <c r="Q133">
        <v>25</v>
      </c>
      <c r="R133">
        <v>6.27</v>
      </c>
      <c r="S133">
        <v>0</v>
      </c>
      <c r="T133">
        <v>0</v>
      </c>
      <c r="U133">
        <v>0</v>
      </c>
      <c r="V133">
        <v>0</v>
      </c>
      <c r="W133">
        <v>4.1900000000000004</v>
      </c>
      <c r="X133">
        <v>0</v>
      </c>
      <c r="Y133">
        <v>0.2</v>
      </c>
      <c r="Z133">
        <v>0.18</v>
      </c>
      <c r="AA133">
        <v>0</v>
      </c>
      <c r="AB133">
        <v>1.2E-2</v>
      </c>
      <c r="AC133">
        <v>4.1000000000000003E-3</v>
      </c>
    </row>
    <row r="134" spans="1:29" x14ac:dyDescent="0.3">
      <c r="A134" t="s">
        <v>54</v>
      </c>
      <c r="B134" t="s">
        <v>139</v>
      </c>
      <c r="C134" t="s">
        <v>4</v>
      </c>
      <c r="D134">
        <v>25</v>
      </c>
      <c r="E134">
        <v>76</v>
      </c>
      <c r="F134">
        <v>2</v>
      </c>
      <c r="G134">
        <v>1050</v>
      </c>
      <c r="H134">
        <v>0.25</v>
      </c>
      <c r="I134" t="s">
        <v>21</v>
      </c>
      <c r="J134">
        <v>500</v>
      </c>
      <c r="K134">
        <v>24</v>
      </c>
      <c r="L134">
        <v>2</v>
      </c>
      <c r="M134">
        <v>-1</v>
      </c>
      <c r="N134">
        <v>650</v>
      </c>
      <c r="O134">
        <v>0.56079011098986997</v>
      </c>
      <c r="P134">
        <v>7.0583143531183495E-7</v>
      </c>
      <c r="Q134">
        <v>25</v>
      </c>
      <c r="R134">
        <v>6.4</v>
      </c>
      <c r="S134">
        <v>0</v>
      </c>
      <c r="T134">
        <v>0</v>
      </c>
      <c r="U134">
        <v>0</v>
      </c>
      <c r="V134">
        <v>0</v>
      </c>
      <c r="W134">
        <v>4</v>
      </c>
      <c r="X134">
        <v>0</v>
      </c>
      <c r="Y134">
        <v>0</v>
      </c>
      <c r="Z134">
        <v>0.19</v>
      </c>
      <c r="AA134">
        <v>0</v>
      </c>
      <c r="AB134">
        <v>0</v>
      </c>
      <c r="AC134">
        <v>0</v>
      </c>
    </row>
    <row r="135" spans="1:29" x14ac:dyDescent="0.3">
      <c r="A135" t="s">
        <v>55</v>
      </c>
      <c r="B135" t="s">
        <v>139</v>
      </c>
      <c r="C135" t="s">
        <v>4</v>
      </c>
      <c r="D135">
        <v>25</v>
      </c>
      <c r="E135">
        <v>76</v>
      </c>
      <c r="F135">
        <v>2</v>
      </c>
      <c r="G135">
        <v>25</v>
      </c>
      <c r="H135">
        <v>5</v>
      </c>
      <c r="I135" t="s">
        <v>21</v>
      </c>
      <c r="J135">
        <v>1300</v>
      </c>
      <c r="K135">
        <v>4</v>
      </c>
      <c r="L135">
        <v>2</v>
      </c>
      <c r="M135">
        <v>0</v>
      </c>
      <c r="N135">
        <v>306.27999999999997</v>
      </c>
      <c r="O135">
        <v>0.54440322001040764</v>
      </c>
      <c r="P135">
        <v>6.8852033397453758E-7</v>
      </c>
      <c r="Q135">
        <v>25</v>
      </c>
      <c r="R135">
        <v>8.67</v>
      </c>
      <c r="S135">
        <v>0</v>
      </c>
      <c r="T135">
        <v>0</v>
      </c>
      <c r="U135">
        <v>18.7</v>
      </c>
      <c r="V135">
        <v>0</v>
      </c>
      <c r="W135">
        <v>0</v>
      </c>
      <c r="X135">
        <v>0</v>
      </c>
      <c r="Y135">
        <v>0</v>
      </c>
      <c r="Z135">
        <v>2E-3</v>
      </c>
      <c r="AA135">
        <v>1.6E-2</v>
      </c>
      <c r="AB135">
        <v>0.53</v>
      </c>
      <c r="AC135">
        <v>2.3E-2</v>
      </c>
    </row>
    <row r="136" spans="1:29" x14ac:dyDescent="0.3">
      <c r="A136" t="s">
        <v>56</v>
      </c>
      <c r="B136" t="s">
        <v>139</v>
      </c>
      <c r="C136" t="s">
        <v>4</v>
      </c>
      <c r="D136">
        <v>25</v>
      </c>
      <c r="E136">
        <v>76</v>
      </c>
      <c r="F136">
        <v>2</v>
      </c>
      <c r="G136">
        <v>25</v>
      </c>
      <c r="H136">
        <v>5</v>
      </c>
      <c r="I136" t="s">
        <v>21</v>
      </c>
      <c r="J136">
        <v>1300</v>
      </c>
      <c r="K136">
        <v>4</v>
      </c>
      <c r="L136">
        <v>2</v>
      </c>
      <c r="M136">
        <v>0</v>
      </c>
      <c r="N136">
        <v>227.24</v>
      </c>
      <c r="O136">
        <v>0.62064861764874568</v>
      </c>
      <c r="P136">
        <v>6.817715171308147E-7</v>
      </c>
      <c r="Q136">
        <v>25</v>
      </c>
      <c r="R136">
        <v>8.67</v>
      </c>
      <c r="S136">
        <v>0</v>
      </c>
      <c r="T136">
        <v>0</v>
      </c>
      <c r="U136">
        <v>18.7</v>
      </c>
      <c r="V136">
        <v>0</v>
      </c>
      <c r="W136">
        <v>0</v>
      </c>
      <c r="X136">
        <v>0</v>
      </c>
      <c r="Y136">
        <v>0</v>
      </c>
      <c r="Z136">
        <v>2E-3</v>
      </c>
      <c r="AA136">
        <v>1.6E-2</v>
      </c>
      <c r="AB136">
        <v>0.53</v>
      </c>
      <c r="AC136">
        <v>2.3E-2</v>
      </c>
    </row>
    <row r="137" spans="1:29" x14ac:dyDescent="0.3">
      <c r="A137" t="s">
        <v>57</v>
      </c>
      <c r="B137" t="s">
        <v>139</v>
      </c>
      <c r="C137" t="s">
        <v>4</v>
      </c>
      <c r="D137">
        <v>25</v>
      </c>
      <c r="E137">
        <v>76</v>
      </c>
      <c r="F137">
        <v>2</v>
      </c>
      <c r="G137">
        <v>970</v>
      </c>
      <c r="H137">
        <v>0.5</v>
      </c>
      <c r="I137" t="s">
        <v>21</v>
      </c>
      <c r="J137">
        <v>700</v>
      </c>
      <c r="K137">
        <v>0.5</v>
      </c>
      <c r="L137">
        <v>2</v>
      </c>
      <c r="M137">
        <v>-1</v>
      </c>
      <c r="N137">
        <v>461.077</v>
      </c>
      <c r="O137">
        <v>0.67667254422990641</v>
      </c>
      <c r="P137">
        <v>6.9787779435800053E-7</v>
      </c>
      <c r="Q137">
        <v>25</v>
      </c>
      <c r="R137">
        <v>6.22</v>
      </c>
      <c r="S137">
        <v>0</v>
      </c>
      <c r="T137">
        <v>0</v>
      </c>
      <c r="U137">
        <v>0</v>
      </c>
      <c r="V137">
        <v>0</v>
      </c>
      <c r="W137">
        <v>4.01</v>
      </c>
      <c r="X137">
        <v>0</v>
      </c>
      <c r="Y137">
        <v>0.2</v>
      </c>
      <c r="Z137">
        <v>0.2</v>
      </c>
      <c r="AA137">
        <v>0.02</v>
      </c>
      <c r="AB137">
        <v>0.01</v>
      </c>
      <c r="AC137">
        <v>1E-3</v>
      </c>
    </row>
    <row r="138" spans="1:29" x14ac:dyDescent="0.3">
      <c r="A138" t="s">
        <v>58</v>
      </c>
      <c r="B138" t="s">
        <v>139</v>
      </c>
      <c r="C138" t="s">
        <v>4</v>
      </c>
      <c r="D138">
        <v>25</v>
      </c>
      <c r="E138">
        <v>76</v>
      </c>
      <c r="F138">
        <v>2</v>
      </c>
      <c r="G138">
        <v>970</v>
      </c>
      <c r="H138">
        <v>0.5</v>
      </c>
      <c r="I138" t="s">
        <v>21</v>
      </c>
      <c r="J138">
        <v>700</v>
      </c>
      <c r="K138">
        <v>0.5</v>
      </c>
      <c r="L138">
        <v>2</v>
      </c>
      <c r="M138">
        <v>-1</v>
      </c>
      <c r="N138">
        <v>550.01700000000005</v>
      </c>
      <c r="O138">
        <v>0.58980591855772457</v>
      </c>
      <c r="P138">
        <v>7.0195176019542378E-7</v>
      </c>
      <c r="Q138">
        <v>25</v>
      </c>
      <c r="R138">
        <v>6.22</v>
      </c>
      <c r="S138">
        <v>0</v>
      </c>
      <c r="T138">
        <v>0</v>
      </c>
      <c r="U138">
        <v>0</v>
      </c>
      <c r="V138">
        <v>0</v>
      </c>
      <c r="W138">
        <v>4.01</v>
      </c>
      <c r="X138">
        <v>0</v>
      </c>
      <c r="Y138">
        <v>0.2</v>
      </c>
      <c r="Z138">
        <v>0.2</v>
      </c>
      <c r="AA138">
        <v>0.02</v>
      </c>
      <c r="AB138">
        <v>0.01</v>
      </c>
      <c r="AC138">
        <v>1E-3</v>
      </c>
    </row>
    <row r="139" spans="1:29" x14ac:dyDescent="0.3">
      <c r="A139" t="s">
        <v>59</v>
      </c>
      <c r="B139" t="s">
        <v>139</v>
      </c>
      <c r="C139" t="s">
        <v>4</v>
      </c>
      <c r="D139">
        <v>25</v>
      </c>
      <c r="E139">
        <v>76</v>
      </c>
      <c r="F139">
        <v>2</v>
      </c>
      <c r="G139">
        <v>970</v>
      </c>
      <c r="H139">
        <v>0.5</v>
      </c>
      <c r="I139" t="s">
        <v>21</v>
      </c>
      <c r="J139">
        <v>700</v>
      </c>
      <c r="K139">
        <v>0.5</v>
      </c>
      <c r="L139">
        <v>2</v>
      </c>
      <c r="M139">
        <v>-1</v>
      </c>
      <c r="N139">
        <v>600.83000000000004</v>
      </c>
      <c r="O139">
        <v>0.58980591855772457</v>
      </c>
      <c r="P139">
        <v>7.0400162043188781E-7</v>
      </c>
      <c r="Q139">
        <v>25</v>
      </c>
      <c r="R139">
        <v>6.22</v>
      </c>
      <c r="S139">
        <v>0</v>
      </c>
      <c r="T139">
        <v>0</v>
      </c>
      <c r="U139">
        <v>0</v>
      </c>
      <c r="V139">
        <v>0</v>
      </c>
      <c r="W139">
        <v>4.01</v>
      </c>
      <c r="X139">
        <v>0</v>
      </c>
      <c r="Y139">
        <v>0.2</v>
      </c>
      <c r="Z139">
        <v>0.2</v>
      </c>
      <c r="AA139">
        <v>0.02</v>
      </c>
      <c r="AB139">
        <v>0.01</v>
      </c>
      <c r="AC139">
        <v>1E-3</v>
      </c>
    </row>
    <row r="140" spans="1:29" x14ac:dyDescent="0.3">
      <c r="A140" t="s">
        <v>60</v>
      </c>
      <c r="B140" t="s">
        <v>139</v>
      </c>
      <c r="C140" t="s">
        <v>4</v>
      </c>
      <c r="D140">
        <v>25</v>
      </c>
      <c r="E140">
        <v>76</v>
      </c>
      <c r="F140">
        <v>2</v>
      </c>
      <c r="G140">
        <v>25</v>
      </c>
      <c r="H140">
        <v>1</v>
      </c>
      <c r="I140" t="s">
        <v>21</v>
      </c>
      <c r="J140">
        <v>600</v>
      </c>
      <c r="K140">
        <v>8</v>
      </c>
      <c r="L140">
        <v>2</v>
      </c>
      <c r="M140">
        <v>0.1</v>
      </c>
      <c r="N140">
        <v>730</v>
      </c>
      <c r="O140">
        <v>0.97177920839610765</v>
      </c>
      <c r="P140">
        <v>7.085402236252149E-7</v>
      </c>
      <c r="Q140">
        <v>25</v>
      </c>
      <c r="R140">
        <v>6.2</v>
      </c>
      <c r="S140">
        <v>1.95</v>
      </c>
      <c r="T140">
        <v>3.8</v>
      </c>
      <c r="U140">
        <v>0</v>
      </c>
      <c r="V140">
        <v>2</v>
      </c>
      <c r="W140">
        <v>0</v>
      </c>
      <c r="X140">
        <v>0</v>
      </c>
      <c r="Y140">
        <v>0</v>
      </c>
      <c r="Z140">
        <v>0.03</v>
      </c>
      <c r="AA140">
        <v>2.1000000000000001E-2</v>
      </c>
      <c r="AB140">
        <v>4.0000000000000001E-3</v>
      </c>
      <c r="AC140">
        <v>8.0000000000000002E-3</v>
      </c>
    </row>
    <row r="141" spans="1:29" x14ac:dyDescent="0.3">
      <c r="A141" t="s">
        <v>61</v>
      </c>
      <c r="B141" t="s">
        <v>139</v>
      </c>
      <c r="C141" t="s">
        <v>4</v>
      </c>
      <c r="D141">
        <v>25</v>
      </c>
      <c r="E141">
        <v>76</v>
      </c>
      <c r="F141">
        <v>2</v>
      </c>
      <c r="G141">
        <v>970</v>
      </c>
      <c r="H141">
        <v>0.5</v>
      </c>
      <c r="I141" t="s">
        <v>21</v>
      </c>
      <c r="J141">
        <v>700</v>
      </c>
      <c r="K141">
        <v>0.5</v>
      </c>
      <c r="L141">
        <v>2</v>
      </c>
      <c r="M141">
        <v>-1</v>
      </c>
      <c r="N141">
        <v>430.28</v>
      </c>
      <c r="O141">
        <v>0.56567879038870927</v>
      </c>
      <c r="P141">
        <v>6.9628757264995223E-7</v>
      </c>
      <c r="Q141">
        <v>25</v>
      </c>
      <c r="R141">
        <v>6.22</v>
      </c>
      <c r="S141">
        <v>0</v>
      </c>
      <c r="T141">
        <v>0</v>
      </c>
      <c r="U141">
        <v>0</v>
      </c>
      <c r="V141">
        <v>0</v>
      </c>
      <c r="W141">
        <v>4.01</v>
      </c>
      <c r="X141">
        <v>0</v>
      </c>
      <c r="Y141">
        <v>0.2</v>
      </c>
      <c r="Z141">
        <v>0.2</v>
      </c>
      <c r="AA141">
        <v>0.02</v>
      </c>
      <c r="AB141">
        <v>0.01</v>
      </c>
      <c r="AC141">
        <v>1E-3</v>
      </c>
    </row>
    <row r="142" spans="1:29" x14ac:dyDescent="0.3">
      <c r="A142" t="s">
        <v>62</v>
      </c>
      <c r="B142" t="s">
        <v>139</v>
      </c>
      <c r="C142" t="s">
        <v>4</v>
      </c>
      <c r="D142">
        <v>25</v>
      </c>
      <c r="E142">
        <v>76</v>
      </c>
      <c r="F142">
        <v>2</v>
      </c>
      <c r="G142">
        <v>970</v>
      </c>
      <c r="H142">
        <v>0.5</v>
      </c>
      <c r="I142" t="s">
        <v>21</v>
      </c>
      <c r="J142">
        <v>700</v>
      </c>
      <c r="K142">
        <v>0.5</v>
      </c>
      <c r="L142">
        <v>2</v>
      </c>
      <c r="M142">
        <v>-1</v>
      </c>
      <c r="N142">
        <v>541.21</v>
      </c>
      <c r="O142">
        <v>0.58980591855772457</v>
      </c>
      <c r="P142">
        <v>7.015779442168557E-7</v>
      </c>
      <c r="Q142">
        <v>25</v>
      </c>
      <c r="R142">
        <v>6.22</v>
      </c>
      <c r="S142">
        <v>0</v>
      </c>
      <c r="T142">
        <v>0</v>
      </c>
      <c r="U142">
        <v>0</v>
      </c>
      <c r="V142">
        <v>0</v>
      </c>
      <c r="W142">
        <v>4.01</v>
      </c>
      <c r="X142">
        <v>0</v>
      </c>
      <c r="Y142">
        <v>0.2</v>
      </c>
      <c r="Z142">
        <v>0.2</v>
      </c>
      <c r="AA142">
        <v>0.02</v>
      </c>
      <c r="AB142">
        <v>0.01</v>
      </c>
      <c r="AC142">
        <v>1E-3</v>
      </c>
    </row>
    <row r="143" spans="1:29" x14ac:dyDescent="0.3">
      <c r="A143" t="s">
        <v>63</v>
      </c>
      <c r="B143" t="s">
        <v>139</v>
      </c>
      <c r="C143" t="s">
        <v>4</v>
      </c>
      <c r="D143">
        <v>25</v>
      </c>
      <c r="E143">
        <v>76</v>
      </c>
      <c r="F143">
        <v>2</v>
      </c>
      <c r="G143">
        <v>970</v>
      </c>
      <c r="H143">
        <v>0.5</v>
      </c>
      <c r="I143" t="s">
        <v>21</v>
      </c>
      <c r="J143">
        <v>700</v>
      </c>
      <c r="K143">
        <v>0.5</v>
      </c>
      <c r="L143">
        <v>2</v>
      </c>
      <c r="M143">
        <v>-1</v>
      </c>
      <c r="N143">
        <v>400.68099999999998</v>
      </c>
      <c r="O143">
        <v>0.58980591855772457</v>
      </c>
      <c r="P143">
        <v>6.9465187834805137E-7</v>
      </c>
      <c r="Q143">
        <v>25</v>
      </c>
      <c r="R143">
        <v>6.22</v>
      </c>
      <c r="S143">
        <v>0</v>
      </c>
      <c r="T143">
        <v>0</v>
      </c>
      <c r="U143">
        <v>0</v>
      </c>
      <c r="V143">
        <v>0</v>
      </c>
      <c r="W143">
        <v>4.01</v>
      </c>
      <c r="X143">
        <v>0</v>
      </c>
      <c r="Y143">
        <v>0.2</v>
      </c>
      <c r="Z143">
        <v>0.2</v>
      </c>
      <c r="AA143">
        <v>0.02</v>
      </c>
      <c r="AB143">
        <v>0.01</v>
      </c>
      <c r="AC143">
        <v>1E-3</v>
      </c>
    </row>
    <row r="144" spans="1:29" x14ac:dyDescent="0.3">
      <c r="A144" t="s">
        <v>64</v>
      </c>
      <c r="B144" t="s">
        <v>139</v>
      </c>
      <c r="C144" t="s">
        <v>4</v>
      </c>
      <c r="D144">
        <v>25</v>
      </c>
      <c r="E144">
        <v>76</v>
      </c>
      <c r="F144">
        <v>2</v>
      </c>
      <c r="G144">
        <v>970</v>
      </c>
      <c r="H144">
        <v>0.5</v>
      </c>
      <c r="I144" t="s">
        <v>21</v>
      </c>
      <c r="J144">
        <v>700</v>
      </c>
      <c r="K144">
        <v>0.5</v>
      </c>
      <c r="L144">
        <v>2</v>
      </c>
      <c r="M144">
        <v>-1</v>
      </c>
      <c r="N144">
        <v>370.73099999999999</v>
      </c>
      <c r="O144">
        <v>0.58980591855772457</v>
      </c>
      <c r="P144">
        <v>6.9287325759640071E-7</v>
      </c>
      <c r="Q144">
        <v>25</v>
      </c>
      <c r="R144">
        <v>6.22</v>
      </c>
      <c r="S144">
        <v>0</v>
      </c>
      <c r="T144">
        <v>0</v>
      </c>
      <c r="U144">
        <v>0</v>
      </c>
      <c r="V144">
        <v>0</v>
      </c>
      <c r="W144">
        <v>4.01</v>
      </c>
      <c r="X144">
        <v>0</v>
      </c>
      <c r="Y144">
        <v>0.2</v>
      </c>
      <c r="Z144">
        <v>0.2</v>
      </c>
      <c r="AA144">
        <v>0.02</v>
      </c>
      <c r="AB144">
        <v>0.01</v>
      </c>
      <c r="AC144">
        <v>1E-3</v>
      </c>
    </row>
    <row r="145" spans="1:29" x14ac:dyDescent="0.3">
      <c r="A145" t="s">
        <v>65</v>
      </c>
      <c r="B145" t="s">
        <v>139</v>
      </c>
      <c r="C145" t="s">
        <v>4</v>
      </c>
      <c r="D145">
        <v>25</v>
      </c>
      <c r="E145">
        <v>76</v>
      </c>
      <c r="F145">
        <v>2</v>
      </c>
      <c r="G145">
        <v>970</v>
      </c>
      <c r="H145">
        <v>0.5</v>
      </c>
      <c r="I145" t="s">
        <v>21</v>
      </c>
      <c r="J145">
        <v>700</v>
      </c>
      <c r="K145">
        <v>0.5</v>
      </c>
      <c r="L145">
        <v>2</v>
      </c>
      <c r="M145">
        <v>-1</v>
      </c>
      <c r="N145">
        <v>550.17700000000002</v>
      </c>
      <c r="O145">
        <v>0.58980591855772457</v>
      </c>
      <c r="P145">
        <v>7.0195849777644537E-7</v>
      </c>
      <c r="Q145">
        <v>25</v>
      </c>
      <c r="R145">
        <v>6.22</v>
      </c>
      <c r="S145">
        <v>0</v>
      </c>
      <c r="T145">
        <v>0</v>
      </c>
      <c r="U145">
        <v>0</v>
      </c>
      <c r="V145">
        <v>0</v>
      </c>
      <c r="W145">
        <v>4.01</v>
      </c>
      <c r="X145">
        <v>0</v>
      </c>
      <c r="Y145">
        <v>0.2</v>
      </c>
      <c r="Z145">
        <v>0.2</v>
      </c>
      <c r="AA145">
        <v>0.02</v>
      </c>
      <c r="AB145">
        <v>0.01</v>
      </c>
      <c r="AC145">
        <v>1E-3</v>
      </c>
    </row>
    <row r="146" spans="1:29" x14ac:dyDescent="0.3">
      <c r="A146" t="s">
        <v>66</v>
      </c>
      <c r="B146" t="s">
        <v>139</v>
      </c>
      <c r="C146" t="s">
        <v>4</v>
      </c>
      <c r="D146">
        <v>25</v>
      </c>
      <c r="E146">
        <v>76</v>
      </c>
      <c r="F146">
        <v>2</v>
      </c>
      <c r="G146">
        <v>970</v>
      </c>
      <c r="H146">
        <v>0.5</v>
      </c>
      <c r="I146" t="s">
        <v>21</v>
      </c>
      <c r="J146">
        <v>700</v>
      </c>
      <c r="K146">
        <v>0.5</v>
      </c>
      <c r="L146">
        <v>2</v>
      </c>
      <c r="M146">
        <v>-1</v>
      </c>
      <c r="N146">
        <v>500.71</v>
      </c>
      <c r="O146">
        <v>0.58980591855772457</v>
      </c>
      <c r="P146">
        <v>6.9977947859857896E-7</v>
      </c>
      <c r="Q146">
        <v>25</v>
      </c>
      <c r="R146">
        <v>6.22</v>
      </c>
      <c r="S146">
        <v>0</v>
      </c>
      <c r="T146">
        <v>0</v>
      </c>
      <c r="U146">
        <v>0</v>
      </c>
      <c r="V146">
        <v>0</v>
      </c>
      <c r="W146">
        <v>4.01</v>
      </c>
      <c r="X146">
        <v>0</v>
      </c>
      <c r="Y146">
        <v>0.2</v>
      </c>
      <c r="Z146">
        <v>0.2</v>
      </c>
      <c r="AA146">
        <v>0.02</v>
      </c>
      <c r="AB146">
        <v>0.01</v>
      </c>
      <c r="AC146">
        <v>1E-3</v>
      </c>
    </row>
    <row r="147" spans="1:29" x14ac:dyDescent="0.3">
      <c r="A147" t="s">
        <v>67</v>
      </c>
      <c r="B147" t="s">
        <v>139</v>
      </c>
      <c r="C147" t="s">
        <v>4</v>
      </c>
      <c r="D147">
        <v>25</v>
      </c>
      <c r="E147">
        <v>76</v>
      </c>
      <c r="F147">
        <v>2</v>
      </c>
      <c r="G147">
        <v>970</v>
      </c>
      <c r="H147">
        <v>0.5</v>
      </c>
      <c r="I147" t="s">
        <v>21</v>
      </c>
      <c r="J147">
        <v>700</v>
      </c>
      <c r="K147">
        <v>0.5</v>
      </c>
      <c r="L147">
        <v>2</v>
      </c>
      <c r="M147">
        <v>-1</v>
      </c>
      <c r="N147">
        <v>499.9</v>
      </c>
      <c r="O147">
        <v>0.58980591855772457</v>
      </c>
      <c r="P147">
        <v>6.9974209218454186E-7</v>
      </c>
      <c r="Q147">
        <v>25</v>
      </c>
      <c r="R147">
        <v>6.22</v>
      </c>
      <c r="S147">
        <v>0</v>
      </c>
      <c r="T147">
        <v>0</v>
      </c>
      <c r="U147">
        <v>0</v>
      </c>
      <c r="V147">
        <v>0</v>
      </c>
      <c r="W147">
        <v>4.01</v>
      </c>
      <c r="X147">
        <v>0</v>
      </c>
      <c r="Y147">
        <v>0.2</v>
      </c>
      <c r="Z147">
        <v>0.2</v>
      </c>
      <c r="AA147">
        <v>0.02</v>
      </c>
      <c r="AB147">
        <v>0.01</v>
      </c>
      <c r="AC147">
        <v>1E-3</v>
      </c>
    </row>
    <row r="148" spans="1:29" x14ac:dyDescent="0.3">
      <c r="A148" t="s">
        <v>68</v>
      </c>
      <c r="B148" t="s">
        <v>139</v>
      </c>
      <c r="C148" t="s">
        <v>4</v>
      </c>
      <c r="D148">
        <v>25</v>
      </c>
      <c r="E148">
        <v>76</v>
      </c>
      <c r="F148">
        <v>2</v>
      </c>
      <c r="G148">
        <v>970</v>
      </c>
      <c r="H148">
        <v>0.5</v>
      </c>
      <c r="I148" t="s">
        <v>21</v>
      </c>
      <c r="J148">
        <v>700</v>
      </c>
      <c r="K148">
        <v>0.5</v>
      </c>
      <c r="L148">
        <v>2</v>
      </c>
      <c r="M148">
        <v>-1</v>
      </c>
      <c r="N148">
        <v>340.37599999999998</v>
      </c>
      <c r="O148">
        <v>0.56567879038870927</v>
      </c>
      <c r="P148">
        <v>6.9092276184633277E-7</v>
      </c>
      <c r="Q148">
        <v>25</v>
      </c>
      <c r="R148">
        <v>6.22</v>
      </c>
      <c r="S148">
        <v>0</v>
      </c>
      <c r="T148">
        <v>0</v>
      </c>
      <c r="U148">
        <v>0</v>
      </c>
      <c r="V148">
        <v>0</v>
      </c>
      <c r="W148">
        <v>4.01</v>
      </c>
      <c r="X148">
        <v>0</v>
      </c>
      <c r="Y148">
        <v>0.2</v>
      </c>
      <c r="Z148">
        <v>0.2</v>
      </c>
      <c r="AA148">
        <v>0.02</v>
      </c>
      <c r="AB148">
        <v>0.01</v>
      </c>
      <c r="AC148">
        <v>1E-3</v>
      </c>
    </row>
    <row r="149" spans="1:29" x14ac:dyDescent="0.3">
      <c r="A149" t="s">
        <v>69</v>
      </c>
      <c r="B149" t="s">
        <v>139</v>
      </c>
      <c r="C149" t="s">
        <v>4</v>
      </c>
      <c r="D149">
        <v>25</v>
      </c>
      <c r="E149">
        <v>76</v>
      </c>
      <c r="F149">
        <v>2</v>
      </c>
      <c r="G149">
        <v>970</v>
      </c>
      <c r="H149">
        <v>0.5</v>
      </c>
      <c r="I149" t="s">
        <v>21</v>
      </c>
      <c r="J149">
        <v>700</v>
      </c>
      <c r="K149">
        <v>0.5</v>
      </c>
      <c r="L149">
        <v>2</v>
      </c>
      <c r="M149">
        <v>-1</v>
      </c>
      <c r="N149">
        <v>429.52300000000002</v>
      </c>
      <c r="O149">
        <v>0.58980591855772457</v>
      </c>
      <c r="P149">
        <v>6.962471134773593E-7</v>
      </c>
      <c r="Q149">
        <v>25</v>
      </c>
      <c r="R149">
        <v>6.22</v>
      </c>
      <c r="S149">
        <v>0</v>
      </c>
      <c r="T149">
        <v>0</v>
      </c>
      <c r="U149">
        <v>0</v>
      </c>
      <c r="V149">
        <v>0</v>
      </c>
      <c r="W149">
        <v>4.01</v>
      </c>
      <c r="X149">
        <v>0</v>
      </c>
      <c r="Y149">
        <v>0.2</v>
      </c>
      <c r="Z149">
        <v>0.2</v>
      </c>
      <c r="AA149">
        <v>0.02</v>
      </c>
      <c r="AB149">
        <v>0.01</v>
      </c>
      <c r="AC149">
        <v>1E-3</v>
      </c>
    </row>
    <row r="150" spans="1:29" x14ac:dyDescent="0.3">
      <c r="A150" t="s">
        <v>70</v>
      </c>
      <c r="B150" t="s">
        <v>139</v>
      </c>
      <c r="C150" t="s">
        <v>4</v>
      </c>
      <c r="D150">
        <v>25</v>
      </c>
      <c r="E150">
        <v>76</v>
      </c>
      <c r="F150">
        <v>2</v>
      </c>
      <c r="G150">
        <v>25</v>
      </c>
      <c r="H150">
        <v>1</v>
      </c>
      <c r="I150" t="s">
        <v>21</v>
      </c>
      <c r="J150">
        <v>600</v>
      </c>
      <c r="K150">
        <v>8</v>
      </c>
      <c r="L150">
        <v>2</v>
      </c>
      <c r="M150">
        <v>0.1</v>
      </c>
      <c r="N150">
        <v>951</v>
      </c>
      <c r="O150">
        <v>0.91900489211114056</v>
      </c>
      <c r="P150">
        <v>7.1475106761584809E-7</v>
      </c>
      <c r="Q150">
        <v>25</v>
      </c>
      <c r="R150">
        <v>6.2</v>
      </c>
      <c r="S150">
        <v>1.95</v>
      </c>
      <c r="T150">
        <v>3.8</v>
      </c>
      <c r="U150">
        <v>0</v>
      </c>
      <c r="V150">
        <v>2</v>
      </c>
      <c r="W150">
        <v>0</v>
      </c>
      <c r="X150">
        <v>0</v>
      </c>
      <c r="Y150">
        <v>0</v>
      </c>
      <c r="Z150">
        <v>0.03</v>
      </c>
      <c r="AA150">
        <v>2.1000000000000001E-2</v>
      </c>
      <c r="AB150">
        <v>4.0000000000000001E-3</v>
      </c>
      <c r="AC150">
        <v>8.0000000000000002E-3</v>
      </c>
    </row>
    <row r="151" spans="1:29" x14ac:dyDescent="0.3">
      <c r="A151" t="s">
        <v>71</v>
      </c>
      <c r="B151" t="s">
        <v>139</v>
      </c>
      <c r="C151" t="s">
        <v>4</v>
      </c>
      <c r="D151">
        <v>25</v>
      </c>
      <c r="E151">
        <v>76</v>
      </c>
      <c r="F151">
        <v>2</v>
      </c>
      <c r="G151">
        <v>970</v>
      </c>
      <c r="H151">
        <v>0.5</v>
      </c>
      <c r="I151" t="s">
        <v>21</v>
      </c>
      <c r="J151">
        <v>700</v>
      </c>
      <c r="K151">
        <v>0.5</v>
      </c>
      <c r="L151">
        <v>2</v>
      </c>
      <c r="M151">
        <v>-1</v>
      </c>
      <c r="N151">
        <v>429.71</v>
      </c>
      <c r="O151">
        <v>0.58980591855772457</v>
      </c>
      <c r="P151">
        <v>6.9625711442439683E-7</v>
      </c>
      <c r="Q151">
        <v>25</v>
      </c>
      <c r="R151">
        <v>6.22</v>
      </c>
      <c r="S151">
        <v>0</v>
      </c>
      <c r="T151">
        <v>0</v>
      </c>
      <c r="U151">
        <v>0</v>
      </c>
      <c r="V151">
        <v>0</v>
      </c>
      <c r="W151">
        <v>4.01</v>
      </c>
      <c r="X151">
        <v>0</v>
      </c>
      <c r="Y151">
        <v>0.2</v>
      </c>
      <c r="Z151">
        <v>0.2</v>
      </c>
      <c r="AA151">
        <v>0.02</v>
      </c>
      <c r="AB151">
        <v>0.01</v>
      </c>
      <c r="AC151">
        <v>1E-3</v>
      </c>
    </row>
    <row r="152" spans="1:29" x14ac:dyDescent="0.3">
      <c r="A152" t="s">
        <v>72</v>
      </c>
      <c r="B152" t="s">
        <v>139</v>
      </c>
      <c r="C152" t="s">
        <v>4</v>
      </c>
      <c r="D152">
        <v>25</v>
      </c>
      <c r="E152">
        <v>76</v>
      </c>
      <c r="F152">
        <v>2</v>
      </c>
      <c r="G152">
        <v>970</v>
      </c>
      <c r="H152">
        <v>0.5</v>
      </c>
      <c r="I152" t="s">
        <v>21</v>
      </c>
      <c r="J152">
        <v>700</v>
      </c>
      <c r="K152">
        <v>0.5</v>
      </c>
      <c r="L152">
        <v>2</v>
      </c>
      <c r="M152">
        <v>-1</v>
      </c>
      <c r="N152">
        <v>369.73899999999998</v>
      </c>
      <c r="O152">
        <v>0.56567879038870927</v>
      </c>
      <c r="P152">
        <v>6.9281199674910817E-7</v>
      </c>
      <c r="Q152">
        <v>25</v>
      </c>
      <c r="R152">
        <v>6.22</v>
      </c>
      <c r="S152">
        <v>0</v>
      </c>
      <c r="T152">
        <v>0</v>
      </c>
      <c r="U152">
        <v>0</v>
      </c>
      <c r="V152">
        <v>0</v>
      </c>
      <c r="W152">
        <v>4.01</v>
      </c>
      <c r="X152">
        <v>0</v>
      </c>
      <c r="Y152">
        <v>0.2</v>
      </c>
      <c r="Z152">
        <v>0.2</v>
      </c>
      <c r="AA152">
        <v>0.02</v>
      </c>
      <c r="AB152">
        <v>0.01</v>
      </c>
      <c r="AC152">
        <v>1E-3</v>
      </c>
    </row>
    <row r="153" spans="1:29" x14ac:dyDescent="0.3">
      <c r="A153" t="s">
        <v>73</v>
      </c>
      <c r="B153" t="s">
        <v>139</v>
      </c>
      <c r="C153" t="s">
        <v>4</v>
      </c>
      <c r="D153">
        <v>25</v>
      </c>
      <c r="E153">
        <v>76</v>
      </c>
      <c r="F153">
        <v>2</v>
      </c>
      <c r="G153">
        <v>970</v>
      </c>
      <c r="H153">
        <v>0.5</v>
      </c>
      <c r="I153" t="s">
        <v>21</v>
      </c>
      <c r="J153">
        <v>700</v>
      </c>
      <c r="K153">
        <v>0.5</v>
      </c>
      <c r="L153">
        <v>2</v>
      </c>
      <c r="M153">
        <v>-1</v>
      </c>
      <c r="N153">
        <v>369.86799999999999</v>
      </c>
      <c r="O153">
        <v>0.58980591855772457</v>
      </c>
      <c r="P153">
        <v>6.9281997211352633E-7</v>
      </c>
      <c r="Q153">
        <v>25</v>
      </c>
      <c r="R153">
        <v>6.22</v>
      </c>
      <c r="S153">
        <v>0</v>
      </c>
      <c r="T153">
        <v>0</v>
      </c>
      <c r="U153">
        <v>0</v>
      </c>
      <c r="V153">
        <v>0</v>
      </c>
      <c r="W153">
        <v>4.01</v>
      </c>
      <c r="X153">
        <v>0</v>
      </c>
      <c r="Y153">
        <v>0.2</v>
      </c>
      <c r="Z153">
        <v>0.2</v>
      </c>
      <c r="AA153">
        <v>0.02</v>
      </c>
      <c r="AB153">
        <v>0.01</v>
      </c>
      <c r="AC153">
        <v>1E-3</v>
      </c>
    </row>
    <row r="154" spans="1:29" x14ac:dyDescent="0.3">
      <c r="A154" t="s">
        <v>74</v>
      </c>
      <c r="B154" t="s">
        <v>139</v>
      </c>
      <c r="C154" t="s">
        <v>4</v>
      </c>
      <c r="D154">
        <v>25</v>
      </c>
      <c r="E154">
        <v>76</v>
      </c>
      <c r="F154">
        <v>2</v>
      </c>
      <c r="G154">
        <v>970</v>
      </c>
      <c r="H154">
        <v>0.5</v>
      </c>
      <c r="I154" t="s">
        <v>21</v>
      </c>
      <c r="J154">
        <v>700</v>
      </c>
      <c r="K154">
        <v>0.5</v>
      </c>
      <c r="L154">
        <v>2</v>
      </c>
      <c r="M154">
        <v>-1</v>
      </c>
      <c r="N154">
        <v>339.54199999999997</v>
      </c>
      <c r="O154">
        <v>0.58980591855772457</v>
      </c>
      <c r="P154">
        <v>6.9086682917183924E-7</v>
      </c>
      <c r="Q154">
        <v>25</v>
      </c>
      <c r="R154">
        <v>6.22</v>
      </c>
      <c r="S154">
        <v>0</v>
      </c>
      <c r="T154">
        <v>0</v>
      </c>
      <c r="U154">
        <v>0</v>
      </c>
      <c r="V154">
        <v>0</v>
      </c>
      <c r="W154">
        <v>4.01</v>
      </c>
      <c r="X154">
        <v>0</v>
      </c>
      <c r="Y154">
        <v>0.2</v>
      </c>
      <c r="Z154">
        <v>0.2</v>
      </c>
      <c r="AA154">
        <v>0.02</v>
      </c>
      <c r="AB154">
        <v>0.01</v>
      </c>
      <c r="AC154">
        <v>1E-3</v>
      </c>
    </row>
    <row r="155" spans="1:29" x14ac:dyDescent="0.3">
      <c r="A155" t="s">
        <v>75</v>
      </c>
      <c r="B155" t="s">
        <v>139</v>
      </c>
      <c r="C155" t="s">
        <v>4</v>
      </c>
      <c r="D155">
        <v>25</v>
      </c>
      <c r="E155">
        <v>76</v>
      </c>
      <c r="F155">
        <v>2</v>
      </c>
      <c r="G155">
        <v>970</v>
      </c>
      <c r="H155">
        <v>0.5</v>
      </c>
      <c r="I155" t="s">
        <v>21</v>
      </c>
      <c r="J155">
        <v>700</v>
      </c>
      <c r="K155">
        <v>0.5</v>
      </c>
      <c r="L155">
        <v>2</v>
      </c>
      <c r="M155">
        <v>-1</v>
      </c>
      <c r="N155">
        <v>525</v>
      </c>
      <c r="O155">
        <v>1.0099075945242479</v>
      </c>
      <c r="P155">
        <v>7.0087426341600388E-7</v>
      </c>
      <c r="Q155">
        <v>25</v>
      </c>
      <c r="R155">
        <v>5.8</v>
      </c>
      <c r="S155">
        <v>4</v>
      </c>
      <c r="T155">
        <v>3.72</v>
      </c>
      <c r="U155">
        <v>0.69</v>
      </c>
      <c r="V155">
        <v>0.54</v>
      </c>
      <c r="W155">
        <v>0</v>
      </c>
      <c r="X155">
        <v>0.34</v>
      </c>
      <c r="Y155">
        <v>8.9999999999999993E-3</v>
      </c>
      <c r="Z155">
        <v>0.105</v>
      </c>
      <c r="AA155">
        <v>0.05</v>
      </c>
      <c r="AB155">
        <v>2.5000000000000001E-3</v>
      </c>
      <c r="AC155">
        <v>4.0000000000000001E-3</v>
      </c>
    </row>
    <row r="156" spans="1:29" x14ac:dyDescent="0.3">
      <c r="A156" t="s">
        <v>76</v>
      </c>
      <c r="B156" t="s">
        <v>139</v>
      </c>
      <c r="C156" t="s">
        <v>4</v>
      </c>
      <c r="D156">
        <v>25</v>
      </c>
      <c r="E156">
        <v>76</v>
      </c>
      <c r="F156">
        <v>2</v>
      </c>
      <c r="G156">
        <v>932</v>
      </c>
      <c r="H156">
        <v>1</v>
      </c>
      <c r="I156" t="s">
        <v>21</v>
      </c>
      <c r="J156">
        <v>704</v>
      </c>
      <c r="K156">
        <v>2</v>
      </c>
      <c r="L156">
        <v>2</v>
      </c>
      <c r="M156">
        <v>-1</v>
      </c>
      <c r="N156">
        <v>300.54500000000002</v>
      </c>
      <c r="O156">
        <v>0.56079011098986997</v>
      </c>
      <c r="P156">
        <v>6.8809098725303897E-7</v>
      </c>
      <c r="Q156">
        <v>25</v>
      </c>
      <c r="R156">
        <v>6.22</v>
      </c>
      <c r="S156">
        <v>0</v>
      </c>
      <c r="T156">
        <v>0</v>
      </c>
      <c r="U156">
        <v>0</v>
      </c>
      <c r="V156">
        <v>0</v>
      </c>
      <c r="W156">
        <v>4.01</v>
      </c>
      <c r="X156">
        <v>0</v>
      </c>
      <c r="Y156">
        <v>0.2</v>
      </c>
      <c r="Z156">
        <v>0.2</v>
      </c>
      <c r="AA156">
        <v>0.02</v>
      </c>
      <c r="AB156">
        <v>0.01</v>
      </c>
      <c r="AC156">
        <v>1E-3</v>
      </c>
    </row>
    <row r="157" spans="1:29" x14ac:dyDescent="0.3">
      <c r="A157" t="s">
        <v>77</v>
      </c>
      <c r="B157" t="s">
        <v>139</v>
      </c>
      <c r="C157" t="s">
        <v>4</v>
      </c>
      <c r="D157">
        <v>25</v>
      </c>
      <c r="E157">
        <v>76</v>
      </c>
      <c r="F157">
        <v>2</v>
      </c>
      <c r="G157">
        <v>932</v>
      </c>
      <c r="H157">
        <v>1</v>
      </c>
      <c r="I157" t="s">
        <v>21</v>
      </c>
      <c r="J157">
        <v>704</v>
      </c>
      <c r="K157">
        <v>2</v>
      </c>
      <c r="L157">
        <v>2</v>
      </c>
      <c r="M157">
        <v>-1</v>
      </c>
      <c r="N157">
        <v>400</v>
      </c>
      <c r="O157">
        <v>0.56079011098986997</v>
      </c>
      <c r="P157">
        <v>6.9461288534764957E-7</v>
      </c>
      <c r="Q157">
        <v>25</v>
      </c>
      <c r="R157">
        <v>6.27</v>
      </c>
      <c r="S157">
        <v>0</v>
      </c>
      <c r="T157">
        <v>0</v>
      </c>
      <c r="U157">
        <v>0</v>
      </c>
      <c r="V157">
        <v>0</v>
      </c>
      <c r="W157">
        <v>4.1900000000000004</v>
      </c>
      <c r="X157">
        <v>0</v>
      </c>
      <c r="Y157">
        <v>0.2</v>
      </c>
      <c r="Z157">
        <v>0.18</v>
      </c>
      <c r="AA157">
        <v>0</v>
      </c>
      <c r="AB157">
        <v>1.2E-2</v>
      </c>
      <c r="AC157">
        <v>0</v>
      </c>
    </row>
    <row r="158" spans="1:29" x14ac:dyDescent="0.3">
      <c r="A158" t="s">
        <v>78</v>
      </c>
      <c r="B158" t="s">
        <v>139</v>
      </c>
      <c r="C158" t="s">
        <v>4</v>
      </c>
      <c r="D158">
        <v>25</v>
      </c>
      <c r="E158">
        <v>76</v>
      </c>
      <c r="F158">
        <v>2</v>
      </c>
      <c r="G158">
        <v>932</v>
      </c>
      <c r="H158">
        <v>1</v>
      </c>
      <c r="I158" t="s">
        <v>21</v>
      </c>
      <c r="J158">
        <v>704</v>
      </c>
      <c r="K158">
        <v>2</v>
      </c>
      <c r="L158">
        <v>2</v>
      </c>
      <c r="M158">
        <v>0.1</v>
      </c>
      <c r="N158">
        <v>611</v>
      </c>
      <c r="O158">
        <v>0.53784992938427523</v>
      </c>
      <c r="P158">
        <v>7.0439167675960005E-7</v>
      </c>
      <c r="Q158">
        <v>25</v>
      </c>
      <c r="R158">
        <v>6.27</v>
      </c>
      <c r="S158">
        <v>0</v>
      </c>
      <c r="T158">
        <v>0</v>
      </c>
      <c r="U158">
        <v>0</v>
      </c>
      <c r="V158">
        <v>0</v>
      </c>
      <c r="W158">
        <v>4.1900000000000004</v>
      </c>
      <c r="X158">
        <v>0</v>
      </c>
      <c r="Y158">
        <v>0.2</v>
      </c>
      <c r="Z158">
        <v>0.18</v>
      </c>
      <c r="AA158">
        <v>0</v>
      </c>
      <c r="AB158">
        <v>1.2E-2</v>
      </c>
      <c r="AC158">
        <v>0</v>
      </c>
    </row>
    <row r="159" spans="1:29" x14ac:dyDescent="0.3">
      <c r="A159" t="s">
        <v>79</v>
      </c>
      <c r="B159" t="s">
        <v>139</v>
      </c>
      <c r="C159" t="s">
        <v>4</v>
      </c>
      <c r="D159">
        <v>25</v>
      </c>
      <c r="E159">
        <v>76</v>
      </c>
      <c r="F159">
        <v>2</v>
      </c>
      <c r="G159">
        <v>932</v>
      </c>
      <c r="H159">
        <v>1</v>
      </c>
      <c r="I159" t="s">
        <v>21</v>
      </c>
      <c r="J159">
        <v>704</v>
      </c>
      <c r="K159">
        <v>2</v>
      </c>
      <c r="L159">
        <v>2</v>
      </c>
      <c r="M159">
        <v>0.5</v>
      </c>
      <c r="N159">
        <v>800</v>
      </c>
      <c r="O159">
        <v>0.56079011098986997</v>
      </c>
      <c r="P159">
        <v>7.1068446995952741E-7</v>
      </c>
      <c r="Q159">
        <v>25</v>
      </c>
      <c r="R159">
        <v>6.27</v>
      </c>
      <c r="S159">
        <v>0</v>
      </c>
      <c r="T159">
        <v>0</v>
      </c>
      <c r="U159">
        <v>0</v>
      </c>
      <c r="V159">
        <v>0</v>
      </c>
      <c r="W159">
        <v>4.1900000000000004</v>
      </c>
      <c r="X159">
        <v>0</v>
      </c>
      <c r="Y159">
        <v>0.2</v>
      </c>
      <c r="Z159">
        <v>0.18</v>
      </c>
      <c r="AA159">
        <v>0</v>
      </c>
      <c r="AB159">
        <v>1.2E-2</v>
      </c>
      <c r="AC159">
        <v>0</v>
      </c>
    </row>
    <row r="160" spans="1:29" x14ac:dyDescent="0.3">
      <c r="A160" t="s">
        <v>80</v>
      </c>
      <c r="B160" t="s">
        <v>139</v>
      </c>
      <c r="C160" t="s">
        <v>4</v>
      </c>
      <c r="D160">
        <v>25</v>
      </c>
      <c r="E160">
        <v>76</v>
      </c>
      <c r="F160">
        <v>2</v>
      </c>
      <c r="G160">
        <v>925</v>
      </c>
      <c r="H160">
        <v>1</v>
      </c>
      <c r="I160" t="s">
        <v>21</v>
      </c>
      <c r="J160">
        <v>700</v>
      </c>
      <c r="K160">
        <v>2</v>
      </c>
      <c r="L160">
        <v>2</v>
      </c>
      <c r="M160">
        <v>0.8</v>
      </c>
      <c r="N160">
        <v>920</v>
      </c>
      <c r="O160">
        <v>0.53784992938427523</v>
      </c>
      <c r="P160">
        <v>7.1396981957258311E-7</v>
      </c>
      <c r="Q160">
        <v>25</v>
      </c>
      <c r="R160">
        <v>6.27</v>
      </c>
      <c r="S160">
        <v>0</v>
      </c>
      <c r="T160">
        <v>0</v>
      </c>
      <c r="U160">
        <v>0</v>
      </c>
      <c r="V160">
        <v>0</v>
      </c>
      <c r="W160">
        <v>4.1900000000000004</v>
      </c>
      <c r="X160">
        <v>0</v>
      </c>
      <c r="Y160">
        <v>0.2</v>
      </c>
      <c r="Z160">
        <v>0.18</v>
      </c>
      <c r="AA160">
        <v>0</v>
      </c>
      <c r="AB160">
        <v>1.2E-2</v>
      </c>
      <c r="AC160">
        <v>0</v>
      </c>
    </row>
    <row r="161" spans="1:29" x14ac:dyDescent="0.3">
      <c r="A161" t="s">
        <v>81</v>
      </c>
      <c r="B161" t="s">
        <v>139</v>
      </c>
      <c r="C161" t="s">
        <v>4</v>
      </c>
      <c r="D161">
        <v>25</v>
      </c>
      <c r="E161">
        <v>76</v>
      </c>
      <c r="F161">
        <v>2</v>
      </c>
      <c r="G161">
        <v>925</v>
      </c>
      <c r="H161">
        <v>1</v>
      </c>
      <c r="I161" t="s">
        <v>21</v>
      </c>
      <c r="J161">
        <v>700</v>
      </c>
      <c r="K161">
        <v>2</v>
      </c>
      <c r="L161">
        <v>2</v>
      </c>
      <c r="M161">
        <v>0.1</v>
      </c>
      <c r="N161">
        <v>600</v>
      </c>
      <c r="O161">
        <v>0.56079011098986997</v>
      </c>
      <c r="P161">
        <v>7.0396950569851215E-7</v>
      </c>
      <c r="Q161">
        <v>25</v>
      </c>
      <c r="R161">
        <v>6.27</v>
      </c>
      <c r="S161">
        <v>0</v>
      </c>
      <c r="T161">
        <v>0</v>
      </c>
      <c r="U161">
        <v>0</v>
      </c>
      <c r="V161">
        <v>0</v>
      </c>
      <c r="W161">
        <v>4.1900000000000004</v>
      </c>
      <c r="X161">
        <v>0</v>
      </c>
      <c r="Y161">
        <v>0.2</v>
      </c>
      <c r="Z161">
        <v>0.18</v>
      </c>
      <c r="AA161">
        <v>0</v>
      </c>
      <c r="AB161">
        <v>1.2E-2</v>
      </c>
      <c r="AC161">
        <v>4.1000000000000003E-3</v>
      </c>
    </row>
    <row r="162" spans="1:29" x14ac:dyDescent="0.3">
      <c r="A162" t="s">
        <v>82</v>
      </c>
      <c r="B162" t="s">
        <v>139</v>
      </c>
      <c r="C162" t="s">
        <v>4</v>
      </c>
      <c r="D162">
        <v>25</v>
      </c>
      <c r="E162">
        <v>76</v>
      </c>
      <c r="F162">
        <v>2</v>
      </c>
      <c r="G162">
        <v>925</v>
      </c>
      <c r="H162">
        <v>1</v>
      </c>
      <c r="I162" t="s">
        <v>21</v>
      </c>
      <c r="J162">
        <v>700</v>
      </c>
      <c r="K162">
        <v>2</v>
      </c>
      <c r="L162">
        <v>2</v>
      </c>
      <c r="M162">
        <v>0.5</v>
      </c>
      <c r="N162">
        <v>780</v>
      </c>
      <c r="O162">
        <v>0.56079011098986997</v>
      </c>
      <c r="P162">
        <v>7.1009094982614795E-7</v>
      </c>
      <c r="Q162">
        <v>25</v>
      </c>
      <c r="R162">
        <v>6.27</v>
      </c>
      <c r="S162">
        <v>0</v>
      </c>
      <c r="T162">
        <v>0</v>
      </c>
      <c r="U162">
        <v>0</v>
      </c>
      <c r="V162">
        <v>0</v>
      </c>
      <c r="W162">
        <v>4.1900000000000004</v>
      </c>
      <c r="X162">
        <v>0</v>
      </c>
      <c r="Y162">
        <v>0.2</v>
      </c>
      <c r="Z162">
        <v>0.18</v>
      </c>
      <c r="AA162">
        <v>0</v>
      </c>
      <c r="AB162">
        <v>1.2E-2</v>
      </c>
      <c r="AC162">
        <v>4.1000000000000003E-3</v>
      </c>
    </row>
    <row r="163" spans="1:29" x14ac:dyDescent="0.3">
      <c r="A163" t="s">
        <v>83</v>
      </c>
      <c r="B163" t="s">
        <v>139</v>
      </c>
      <c r="C163" t="s">
        <v>9</v>
      </c>
      <c r="D163">
        <v>25</v>
      </c>
      <c r="E163">
        <v>76</v>
      </c>
      <c r="F163">
        <v>2</v>
      </c>
      <c r="G163">
        <v>25</v>
      </c>
      <c r="H163">
        <v>2</v>
      </c>
      <c r="I163" t="s">
        <v>21</v>
      </c>
      <c r="J163">
        <v>700</v>
      </c>
      <c r="K163">
        <v>2</v>
      </c>
      <c r="L163">
        <v>2</v>
      </c>
      <c r="M163">
        <v>0.1</v>
      </c>
      <c r="N163">
        <v>610</v>
      </c>
      <c r="O163">
        <v>0.56079011098986997</v>
      </c>
      <c r="P163">
        <v>7.043536025543581E-7</v>
      </c>
      <c r="Q163">
        <v>25</v>
      </c>
      <c r="R163">
        <v>6.27</v>
      </c>
      <c r="S163">
        <v>0</v>
      </c>
      <c r="T163">
        <v>0</v>
      </c>
      <c r="U163">
        <v>0</v>
      </c>
      <c r="V163">
        <v>0</v>
      </c>
      <c r="W163">
        <v>4.1900000000000004</v>
      </c>
      <c r="X163">
        <v>0</v>
      </c>
      <c r="Y163">
        <v>0.2</v>
      </c>
      <c r="Z163">
        <v>0.18</v>
      </c>
      <c r="AA163">
        <v>0</v>
      </c>
      <c r="AB163">
        <v>1.2E-2</v>
      </c>
      <c r="AC163">
        <v>4.1000000000000003E-3</v>
      </c>
    </row>
    <row r="164" spans="1:29" x14ac:dyDescent="0.3">
      <c r="A164" t="s">
        <v>84</v>
      </c>
      <c r="B164" t="s">
        <v>139</v>
      </c>
      <c r="C164" t="s">
        <v>9</v>
      </c>
      <c r="D164">
        <v>25</v>
      </c>
      <c r="E164">
        <v>76</v>
      </c>
      <c r="F164">
        <v>2</v>
      </c>
      <c r="G164">
        <v>25</v>
      </c>
      <c r="H164">
        <v>2</v>
      </c>
      <c r="I164" t="s">
        <v>21</v>
      </c>
      <c r="J164">
        <v>700</v>
      </c>
      <c r="K164">
        <v>2</v>
      </c>
      <c r="L164">
        <v>2</v>
      </c>
      <c r="M164">
        <v>0.1</v>
      </c>
      <c r="N164">
        <v>547</v>
      </c>
      <c r="O164">
        <v>0.53784992938427523</v>
      </c>
      <c r="P164">
        <v>7.0182435860899017E-7</v>
      </c>
      <c r="Q164">
        <v>25</v>
      </c>
      <c r="R164">
        <v>6.3</v>
      </c>
      <c r="S164">
        <v>0</v>
      </c>
      <c r="T164">
        <v>0</v>
      </c>
      <c r="U164">
        <v>0</v>
      </c>
      <c r="V164">
        <v>0</v>
      </c>
      <c r="W164">
        <v>4.2</v>
      </c>
      <c r="X164">
        <v>0</v>
      </c>
      <c r="Y164">
        <v>0.19</v>
      </c>
      <c r="Z164">
        <v>0.19</v>
      </c>
      <c r="AA164">
        <v>0</v>
      </c>
      <c r="AB164">
        <v>1.2999999999999999E-2</v>
      </c>
      <c r="AC164">
        <v>4.1000000000000003E-3</v>
      </c>
    </row>
    <row r="165" spans="1:29" x14ac:dyDescent="0.3">
      <c r="A165" t="s">
        <v>85</v>
      </c>
      <c r="B165" t="s">
        <v>139</v>
      </c>
      <c r="C165" t="s">
        <v>9</v>
      </c>
      <c r="D165">
        <v>25</v>
      </c>
      <c r="E165">
        <v>76</v>
      </c>
      <c r="F165">
        <v>2</v>
      </c>
      <c r="G165">
        <v>25</v>
      </c>
      <c r="H165">
        <v>2</v>
      </c>
      <c r="I165" t="s">
        <v>21</v>
      </c>
      <c r="J165">
        <v>700</v>
      </c>
      <c r="K165">
        <v>2</v>
      </c>
      <c r="L165">
        <v>2</v>
      </c>
      <c r="M165">
        <v>0.5</v>
      </c>
      <c r="N165">
        <v>699</v>
      </c>
      <c r="O165">
        <v>0.53784992938427523</v>
      </c>
      <c r="P165">
        <v>7.0752632359667223E-7</v>
      </c>
      <c r="Q165">
        <v>25</v>
      </c>
      <c r="R165">
        <v>6.3</v>
      </c>
      <c r="S165">
        <v>0</v>
      </c>
      <c r="T165">
        <v>0</v>
      </c>
      <c r="U165">
        <v>0</v>
      </c>
      <c r="V165">
        <v>0</v>
      </c>
      <c r="W165">
        <v>4.2</v>
      </c>
      <c r="X165">
        <v>0</v>
      </c>
      <c r="Y165">
        <v>0.19</v>
      </c>
      <c r="Z165">
        <v>0.19</v>
      </c>
      <c r="AA165">
        <v>0</v>
      </c>
      <c r="AB165">
        <v>1.2999999999999999E-2</v>
      </c>
      <c r="AC165">
        <v>4.1000000000000003E-3</v>
      </c>
    </row>
    <row r="166" spans="1:29" x14ac:dyDescent="0.3">
      <c r="A166" t="s">
        <v>86</v>
      </c>
      <c r="B166" t="s">
        <v>139</v>
      </c>
      <c r="C166" t="s">
        <v>9</v>
      </c>
      <c r="D166">
        <v>25</v>
      </c>
      <c r="E166">
        <v>76</v>
      </c>
      <c r="F166">
        <v>2</v>
      </c>
      <c r="G166">
        <v>25</v>
      </c>
      <c r="H166">
        <v>2</v>
      </c>
      <c r="I166" t="s">
        <v>21</v>
      </c>
      <c r="J166">
        <v>500</v>
      </c>
      <c r="K166">
        <v>24</v>
      </c>
      <c r="L166">
        <v>2</v>
      </c>
      <c r="M166">
        <v>0</v>
      </c>
      <c r="N166">
        <v>700</v>
      </c>
      <c r="O166">
        <v>0.56079011098986997</v>
      </c>
      <c r="P166">
        <v>7.0755970304400871E-7</v>
      </c>
      <c r="Q166">
        <v>25</v>
      </c>
      <c r="R166">
        <v>6.27</v>
      </c>
      <c r="S166">
        <v>0</v>
      </c>
      <c r="T166">
        <v>0</v>
      </c>
      <c r="U166">
        <v>0</v>
      </c>
      <c r="V166">
        <v>0</v>
      </c>
      <c r="W166">
        <v>4.1900000000000004</v>
      </c>
      <c r="X166">
        <v>0</v>
      </c>
      <c r="Y166">
        <v>0.2</v>
      </c>
      <c r="Z166">
        <v>0.18</v>
      </c>
      <c r="AA166">
        <v>0</v>
      </c>
      <c r="AB166">
        <v>1.2E-2</v>
      </c>
      <c r="AC166">
        <v>4.1000000000000003E-3</v>
      </c>
    </row>
    <row r="167" spans="1:29" x14ac:dyDescent="0.3">
      <c r="A167" t="s">
        <v>87</v>
      </c>
      <c r="B167" t="s">
        <v>139</v>
      </c>
      <c r="C167" t="s">
        <v>9</v>
      </c>
      <c r="D167">
        <v>25</v>
      </c>
      <c r="E167">
        <v>76</v>
      </c>
      <c r="F167">
        <v>2</v>
      </c>
      <c r="G167">
        <v>25</v>
      </c>
      <c r="H167">
        <v>2</v>
      </c>
      <c r="I167" t="s">
        <v>21</v>
      </c>
      <c r="J167">
        <v>500</v>
      </c>
      <c r="K167">
        <v>24</v>
      </c>
      <c r="L167">
        <v>2</v>
      </c>
      <c r="M167">
        <v>0</v>
      </c>
      <c r="N167">
        <v>730</v>
      </c>
      <c r="O167">
        <v>0.56079011098986997</v>
      </c>
      <c r="P167">
        <v>7.085402236252149E-7</v>
      </c>
      <c r="Q167">
        <v>25</v>
      </c>
      <c r="R167">
        <v>6.27</v>
      </c>
      <c r="S167">
        <v>0</v>
      </c>
      <c r="T167">
        <v>0</v>
      </c>
      <c r="U167">
        <v>0</v>
      </c>
      <c r="V167">
        <v>0</v>
      </c>
      <c r="W167">
        <v>4.1900000000000004</v>
      </c>
      <c r="X167">
        <v>0</v>
      </c>
      <c r="Y167">
        <v>0.2</v>
      </c>
      <c r="Z167">
        <v>0.18</v>
      </c>
      <c r="AA167">
        <v>0</v>
      </c>
      <c r="AB167">
        <v>1.2E-2</v>
      </c>
      <c r="AC167">
        <v>4.1000000000000003E-3</v>
      </c>
    </row>
    <row r="168" spans="1:29" x14ac:dyDescent="0.3">
      <c r="A168" t="s">
        <v>88</v>
      </c>
      <c r="B168" t="s">
        <v>139</v>
      </c>
      <c r="C168" t="s">
        <v>9</v>
      </c>
      <c r="D168">
        <v>25</v>
      </c>
      <c r="E168">
        <v>76</v>
      </c>
      <c r="F168">
        <v>2</v>
      </c>
      <c r="G168">
        <v>25</v>
      </c>
      <c r="H168">
        <v>2</v>
      </c>
      <c r="I168" t="s">
        <v>21</v>
      </c>
      <c r="J168">
        <v>500</v>
      </c>
      <c r="K168">
        <v>24</v>
      </c>
      <c r="L168">
        <v>2</v>
      </c>
      <c r="M168">
        <v>0</v>
      </c>
      <c r="N168">
        <v>875</v>
      </c>
      <c r="O168">
        <v>0.53784992938427523</v>
      </c>
      <c r="P168">
        <v>7.1278921750021132E-7</v>
      </c>
      <c r="Q168">
        <v>25</v>
      </c>
      <c r="R168">
        <v>6.27</v>
      </c>
      <c r="S168">
        <v>0</v>
      </c>
      <c r="T168">
        <v>0</v>
      </c>
      <c r="U168">
        <v>0</v>
      </c>
      <c r="V168">
        <v>0</v>
      </c>
      <c r="W168">
        <v>4.1900000000000004</v>
      </c>
      <c r="X168">
        <v>0</v>
      </c>
      <c r="Y168">
        <v>0.2</v>
      </c>
      <c r="Z168">
        <v>0.18</v>
      </c>
      <c r="AA168">
        <v>0</v>
      </c>
      <c r="AB168">
        <v>1.2E-2</v>
      </c>
      <c r="AC168">
        <v>4.1000000000000003E-3</v>
      </c>
    </row>
    <row r="169" spans="1:29" x14ac:dyDescent="0.3">
      <c r="A169" t="s">
        <v>89</v>
      </c>
      <c r="B169" t="s">
        <v>139</v>
      </c>
      <c r="C169" t="s">
        <v>4</v>
      </c>
      <c r="D169">
        <v>25</v>
      </c>
      <c r="E169">
        <v>76</v>
      </c>
      <c r="F169">
        <v>2</v>
      </c>
      <c r="G169">
        <v>1050</v>
      </c>
      <c r="H169">
        <v>0.25</v>
      </c>
      <c r="I169" t="s">
        <v>21</v>
      </c>
      <c r="J169">
        <v>500</v>
      </c>
      <c r="K169">
        <v>24</v>
      </c>
      <c r="L169">
        <v>2</v>
      </c>
      <c r="M169">
        <v>0</v>
      </c>
      <c r="N169">
        <v>690</v>
      </c>
      <c r="O169">
        <v>0.53784992938427523</v>
      </c>
      <c r="P169">
        <v>7.0722381339892029E-7</v>
      </c>
      <c r="Q169">
        <v>25</v>
      </c>
      <c r="R169">
        <v>6.27</v>
      </c>
      <c r="S169">
        <v>0</v>
      </c>
      <c r="T169">
        <v>0</v>
      </c>
      <c r="U169">
        <v>0</v>
      </c>
      <c r="V169">
        <v>0</v>
      </c>
      <c r="W169">
        <v>4.1900000000000004</v>
      </c>
      <c r="X169">
        <v>0</v>
      </c>
      <c r="Y169">
        <v>0.2</v>
      </c>
      <c r="Z169">
        <v>0.18</v>
      </c>
      <c r="AA169">
        <v>0</v>
      </c>
      <c r="AB169">
        <v>1.2E-2</v>
      </c>
      <c r="AC169">
        <v>4.1000000000000003E-3</v>
      </c>
    </row>
    <row r="170" spans="1:29" x14ac:dyDescent="0.3">
      <c r="A170" t="s">
        <v>90</v>
      </c>
      <c r="B170" t="s">
        <v>139</v>
      </c>
      <c r="C170" t="s">
        <v>9</v>
      </c>
      <c r="D170">
        <v>25</v>
      </c>
      <c r="E170">
        <v>76</v>
      </c>
      <c r="F170">
        <v>2</v>
      </c>
      <c r="G170">
        <v>25</v>
      </c>
      <c r="H170">
        <v>2</v>
      </c>
      <c r="I170" t="s">
        <v>21</v>
      </c>
      <c r="J170">
        <v>1300</v>
      </c>
      <c r="K170">
        <v>4</v>
      </c>
      <c r="L170">
        <v>2</v>
      </c>
      <c r="M170">
        <v>-1</v>
      </c>
      <c r="N170">
        <v>630</v>
      </c>
      <c r="O170">
        <v>0.56079011098986997</v>
      </c>
      <c r="P170">
        <v>7.0510386264943844E-7</v>
      </c>
      <c r="Q170">
        <v>25</v>
      </c>
      <c r="R170">
        <v>6.4</v>
      </c>
      <c r="S170">
        <v>0</v>
      </c>
      <c r="T170">
        <v>0</v>
      </c>
      <c r="U170">
        <v>0</v>
      </c>
      <c r="V170">
        <v>0</v>
      </c>
      <c r="W170">
        <v>4</v>
      </c>
      <c r="X170">
        <v>0</v>
      </c>
      <c r="Y170">
        <v>0</v>
      </c>
      <c r="Z170">
        <v>0.19</v>
      </c>
      <c r="AA170">
        <v>0</v>
      </c>
      <c r="AB170">
        <v>0</v>
      </c>
      <c r="AC170">
        <v>0</v>
      </c>
    </row>
    <row r="171" spans="1:29" x14ac:dyDescent="0.3">
      <c r="A171" t="s">
        <v>91</v>
      </c>
      <c r="B171" t="s">
        <v>139</v>
      </c>
      <c r="C171" t="s">
        <v>9</v>
      </c>
      <c r="D171">
        <v>25</v>
      </c>
      <c r="E171">
        <v>76</v>
      </c>
      <c r="F171">
        <v>2</v>
      </c>
      <c r="G171">
        <v>25</v>
      </c>
      <c r="H171">
        <v>2</v>
      </c>
      <c r="I171" t="s">
        <v>21</v>
      </c>
      <c r="J171">
        <v>1300</v>
      </c>
      <c r="K171">
        <v>4</v>
      </c>
      <c r="L171">
        <v>2</v>
      </c>
      <c r="M171">
        <v>0</v>
      </c>
      <c r="N171">
        <v>282.17</v>
      </c>
      <c r="O171">
        <v>0.52213337521648806</v>
      </c>
      <c r="P171">
        <v>6.8665994332456745E-7</v>
      </c>
      <c r="Q171">
        <v>25</v>
      </c>
      <c r="R171">
        <v>8.67</v>
      </c>
      <c r="S171">
        <v>0</v>
      </c>
      <c r="T171">
        <v>0</v>
      </c>
      <c r="U171">
        <v>18.7</v>
      </c>
      <c r="V171">
        <v>0</v>
      </c>
      <c r="W171">
        <v>0</v>
      </c>
      <c r="X171">
        <v>0</v>
      </c>
      <c r="Y171">
        <v>0</v>
      </c>
      <c r="Z171">
        <v>2E-3</v>
      </c>
      <c r="AA171">
        <v>1.6E-2</v>
      </c>
      <c r="AB171">
        <v>0.53</v>
      </c>
      <c r="AC171">
        <v>2.3E-2</v>
      </c>
    </row>
    <row r="172" spans="1:29" x14ac:dyDescent="0.3">
      <c r="A172" t="s">
        <v>92</v>
      </c>
      <c r="B172" t="s">
        <v>139</v>
      </c>
      <c r="C172" t="s">
        <v>9</v>
      </c>
      <c r="D172">
        <v>25</v>
      </c>
      <c r="E172">
        <v>76</v>
      </c>
      <c r="F172">
        <v>2</v>
      </c>
      <c r="G172">
        <v>25</v>
      </c>
      <c r="H172">
        <v>2</v>
      </c>
      <c r="I172" t="s">
        <v>21</v>
      </c>
      <c r="J172">
        <v>1300</v>
      </c>
      <c r="K172">
        <v>4</v>
      </c>
      <c r="L172">
        <v>2</v>
      </c>
      <c r="M172">
        <v>0</v>
      </c>
      <c r="N172">
        <v>218.83</v>
      </c>
      <c r="O172">
        <v>0.54440322001040764</v>
      </c>
      <c r="P172">
        <v>6.8092359293847772E-7</v>
      </c>
      <c r="Q172">
        <v>25</v>
      </c>
      <c r="R172">
        <v>8.67</v>
      </c>
      <c r="S172">
        <v>0</v>
      </c>
      <c r="T172">
        <v>0</v>
      </c>
      <c r="U172">
        <v>18.7</v>
      </c>
      <c r="V172">
        <v>0</v>
      </c>
      <c r="W172">
        <v>0</v>
      </c>
      <c r="X172">
        <v>0</v>
      </c>
      <c r="Y172">
        <v>0</v>
      </c>
      <c r="Z172">
        <v>2E-3</v>
      </c>
      <c r="AA172">
        <v>1.6E-2</v>
      </c>
      <c r="AB172">
        <v>0.53</v>
      </c>
      <c r="AC172">
        <v>2.3E-2</v>
      </c>
    </row>
    <row r="173" spans="1:29" x14ac:dyDescent="0.3">
      <c r="A173" t="s">
        <v>93</v>
      </c>
      <c r="B173" t="s">
        <v>139</v>
      </c>
      <c r="C173" t="s">
        <v>9</v>
      </c>
      <c r="D173">
        <v>25</v>
      </c>
      <c r="E173">
        <v>76</v>
      </c>
      <c r="F173">
        <v>2</v>
      </c>
      <c r="G173">
        <v>25</v>
      </c>
      <c r="H173">
        <v>2</v>
      </c>
      <c r="I173" t="s">
        <v>21</v>
      </c>
      <c r="J173">
        <v>1300</v>
      </c>
      <c r="K173">
        <v>4</v>
      </c>
      <c r="L173">
        <v>2</v>
      </c>
      <c r="M173">
        <v>0</v>
      </c>
      <c r="N173">
        <v>312.44</v>
      </c>
      <c r="O173">
        <v>0.52213337521648806</v>
      </c>
      <c r="P173">
        <v>6.8897292330706588E-7</v>
      </c>
      <c r="Q173">
        <v>25</v>
      </c>
      <c r="R173">
        <v>8.67</v>
      </c>
      <c r="S173">
        <v>0</v>
      </c>
      <c r="T173">
        <v>0</v>
      </c>
      <c r="U173">
        <v>18.7</v>
      </c>
      <c r="V173">
        <v>0</v>
      </c>
      <c r="W173">
        <v>0</v>
      </c>
      <c r="X173">
        <v>0</v>
      </c>
      <c r="Y173">
        <v>0</v>
      </c>
      <c r="Z173">
        <v>2E-3</v>
      </c>
      <c r="AA173">
        <v>1.6E-2</v>
      </c>
      <c r="AB173">
        <v>0.53</v>
      </c>
      <c r="AC173">
        <v>2.3E-2</v>
      </c>
    </row>
    <row r="174" spans="1:29" x14ac:dyDescent="0.3">
      <c r="A174" t="s">
        <v>94</v>
      </c>
      <c r="B174" t="s">
        <v>139</v>
      </c>
      <c r="C174" t="s">
        <v>4</v>
      </c>
      <c r="D174">
        <v>25</v>
      </c>
      <c r="E174">
        <v>76</v>
      </c>
      <c r="F174">
        <v>2</v>
      </c>
      <c r="G174">
        <v>970</v>
      </c>
      <c r="H174">
        <v>0.5</v>
      </c>
      <c r="I174" t="s">
        <v>21</v>
      </c>
      <c r="J174">
        <v>700</v>
      </c>
      <c r="K174">
        <v>0.5</v>
      </c>
      <c r="L174">
        <v>2</v>
      </c>
      <c r="M174">
        <v>0</v>
      </c>
      <c r="N174">
        <v>295.63</v>
      </c>
      <c r="O174">
        <v>0.54914904693240685</v>
      </c>
      <c r="P174">
        <v>6.8771667740361896E-7</v>
      </c>
      <c r="Q174">
        <v>25</v>
      </c>
      <c r="R174">
        <v>8.67</v>
      </c>
      <c r="S174">
        <v>0</v>
      </c>
      <c r="T174">
        <v>0</v>
      </c>
      <c r="U174">
        <v>18.7</v>
      </c>
      <c r="V174">
        <v>0</v>
      </c>
      <c r="W174">
        <v>0</v>
      </c>
      <c r="X174">
        <v>0</v>
      </c>
      <c r="Y174">
        <v>0</v>
      </c>
      <c r="Z174">
        <v>2E-3</v>
      </c>
      <c r="AA174">
        <v>1.6E-2</v>
      </c>
      <c r="AB174">
        <v>0.53</v>
      </c>
      <c r="AC174">
        <v>2.3E-2</v>
      </c>
    </row>
    <row r="175" spans="1:29" x14ac:dyDescent="0.3">
      <c r="A175" t="s">
        <v>95</v>
      </c>
      <c r="B175" t="s">
        <v>139</v>
      </c>
      <c r="C175" t="s">
        <v>4</v>
      </c>
      <c r="D175">
        <v>25</v>
      </c>
      <c r="E175">
        <v>76</v>
      </c>
      <c r="F175">
        <v>2</v>
      </c>
      <c r="G175">
        <v>970</v>
      </c>
      <c r="H175">
        <v>0.5</v>
      </c>
      <c r="I175" t="s">
        <v>21</v>
      </c>
      <c r="J175">
        <v>700</v>
      </c>
      <c r="K175">
        <v>0.5</v>
      </c>
      <c r="L175">
        <v>2</v>
      </c>
      <c r="M175">
        <v>-1</v>
      </c>
      <c r="N175">
        <v>340.73</v>
      </c>
      <c r="O175">
        <v>0.56567879038870927</v>
      </c>
      <c r="P175">
        <v>6.9094646299965781E-7</v>
      </c>
      <c r="Q175">
        <v>25</v>
      </c>
      <c r="R175">
        <v>6.22</v>
      </c>
      <c r="S175">
        <v>0</v>
      </c>
      <c r="T175">
        <v>0</v>
      </c>
      <c r="U175">
        <v>0</v>
      </c>
      <c r="V175">
        <v>0</v>
      </c>
      <c r="W175">
        <v>4.01</v>
      </c>
      <c r="X175">
        <v>0</v>
      </c>
      <c r="Y175">
        <v>0.2</v>
      </c>
      <c r="Z175">
        <v>0.2</v>
      </c>
      <c r="AA175">
        <v>0.02</v>
      </c>
      <c r="AB175">
        <v>0.01</v>
      </c>
      <c r="AC175">
        <v>1E-3</v>
      </c>
    </row>
    <row r="176" spans="1:29" x14ac:dyDescent="0.3">
      <c r="A176" t="s">
        <v>96</v>
      </c>
      <c r="B176" t="s">
        <v>139</v>
      </c>
      <c r="C176" t="s">
        <v>9</v>
      </c>
      <c r="D176">
        <v>25</v>
      </c>
      <c r="E176">
        <v>76</v>
      </c>
      <c r="F176">
        <v>2</v>
      </c>
      <c r="G176">
        <v>25</v>
      </c>
      <c r="H176">
        <v>1</v>
      </c>
      <c r="I176" t="s">
        <v>21</v>
      </c>
      <c r="J176">
        <v>600</v>
      </c>
      <c r="K176">
        <v>8</v>
      </c>
      <c r="L176">
        <v>2</v>
      </c>
      <c r="M176">
        <v>-1</v>
      </c>
      <c r="N176">
        <v>901.85</v>
      </c>
      <c r="O176">
        <v>0.53784992938427523</v>
      </c>
      <c r="P176">
        <v>7.1350051001892925E-7</v>
      </c>
      <c r="Q176">
        <v>25</v>
      </c>
      <c r="R176">
        <v>6.22</v>
      </c>
      <c r="S176">
        <v>0</v>
      </c>
      <c r="T176">
        <v>0</v>
      </c>
      <c r="U176">
        <v>0</v>
      </c>
      <c r="V176">
        <v>0</v>
      </c>
      <c r="W176">
        <v>4.01</v>
      </c>
      <c r="X176">
        <v>0</v>
      </c>
      <c r="Y176">
        <v>0.2</v>
      </c>
      <c r="Z176">
        <v>0.2</v>
      </c>
      <c r="AA176">
        <v>0.02</v>
      </c>
      <c r="AB176">
        <v>0.01</v>
      </c>
      <c r="AC176">
        <v>1E-3</v>
      </c>
    </row>
    <row r="177" spans="1:29" x14ac:dyDescent="0.3">
      <c r="A177" t="s">
        <v>97</v>
      </c>
      <c r="B177" t="s">
        <v>139</v>
      </c>
      <c r="C177" t="s">
        <v>4</v>
      </c>
      <c r="D177">
        <v>25</v>
      </c>
      <c r="E177">
        <v>76</v>
      </c>
      <c r="F177">
        <v>2</v>
      </c>
      <c r="G177">
        <v>970</v>
      </c>
      <c r="H177">
        <v>0.5</v>
      </c>
      <c r="I177" t="s">
        <v>21</v>
      </c>
      <c r="J177">
        <v>700</v>
      </c>
      <c r="K177">
        <v>0.5</v>
      </c>
      <c r="L177">
        <v>2</v>
      </c>
      <c r="M177">
        <v>0.1</v>
      </c>
      <c r="N177">
        <v>703</v>
      </c>
      <c r="O177">
        <v>1.0087984758717261</v>
      </c>
      <c r="P177">
        <v>7.0765956542524853E-7</v>
      </c>
      <c r="Q177">
        <v>25</v>
      </c>
      <c r="R177">
        <v>6.2</v>
      </c>
      <c r="S177">
        <v>1.95</v>
      </c>
      <c r="T177">
        <v>3.8</v>
      </c>
      <c r="U177">
        <v>0</v>
      </c>
      <c r="V177">
        <v>2</v>
      </c>
      <c r="W177">
        <v>0</v>
      </c>
      <c r="X177">
        <v>0</v>
      </c>
      <c r="Y177">
        <v>0</v>
      </c>
      <c r="Z177">
        <v>0.03</v>
      </c>
      <c r="AA177">
        <v>2.1000000000000001E-2</v>
      </c>
      <c r="AB177">
        <v>4.0000000000000001E-3</v>
      </c>
      <c r="AC177">
        <v>8.0000000000000002E-3</v>
      </c>
    </row>
    <row r="178" spans="1:29" x14ac:dyDescent="0.3">
      <c r="A178" t="s">
        <v>98</v>
      </c>
      <c r="B178" t="s">
        <v>139</v>
      </c>
      <c r="C178" t="s">
        <v>4</v>
      </c>
      <c r="D178">
        <v>25</v>
      </c>
      <c r="E178">
        <v>76</v>
      </c>
      <c r="F178">
        <v>2</v>
      </c>
      <c r="G178">
        <v>970</v>
      </c>
      <c r="H178">
        <v>0.5</v>
      </c>
      <c r="I178" t="s">
        <v>21</v>
      </c>
      <c r="J178">
        <v>700</v>
      </c>
      <c r="K178">
        <v>0.5</v>
      </c>
      <c r="L178">
        <v>2</v>
      </c>
      <c r="M178">
        <v>-1</v>
      </c>
      <c r="N178">
        <v>853.92</v>
      </c>
      <c r="O178">
        <v>0.58980591855772457</v>
      </c>
      <c r="P178">
        <v>7.1221583088649703E-7</v>
      </c>
      <c r="Q178">
        <v>25</v>
      </c>
      <c r="R178">
        <v>6.22</v>
      </c>
      <c r="S178">
        <v>0</v>
      </c>
      <c r="T178">
        <v>0</v>
      </c>
      <c r="U178">
        <v>0</v>
      </c>
      <c r="V178">
        <v>0</v>
      </c>
      <c r="W178">
        <v>4.01</v>
      </c>
      <c r="X178">
        <v>0</v>
      </c>
      <c r="Y178">
        <v>0.2</v>
      </c>
      <c r="Z178">
        <v>0.2</v>
      </c>
      <c r="AA178">
        <v>0.02</v>
      </c>
      <c r="AB178">
        <v>0.01</v>
      </c>
      <c r="AC178">
        <v>1E-3</v>
      </c>
    </row>
    <row r="179" spans="1:29" x14ac:dyDescent="0.3">
      <c r="A179" t="s">
        <v>99</v>
      </c>
      <c r="B179" t="s">
        <v>139</v>
      </c>
      <c r="C179" t="s">
        <v>4</v>
      </c>
      <c r="D179">
        <v>25</v>
      </c>
      <c r="E179">
        <v>76</v>
      </c>
      <c r="F179">
        <v>2</v>
      </c>
      <c r="G179">
        <v>970</v>
      </c>
      <c r="H179">
        <v>0.5</v>
      </c>
      <c r="I179" t="s">
        <v>21</v>
      </c>
      <c r="J179">
        <v>700</v>
      </c>
      <c r="K179">
        <v>0.5</v>
      </c>
      <c r="L179">
        <v>2</v>
      </c>
      <c r="M179">
        <v>-1</v>
      </c>
      <c r="N179">
        <v>672.47</v>
      </c>
      <c r="O179">
        <v>0.58980591855772457</v>
      </c>
      <c r="P179">
        <v>7.0662347606594085E-7</v>
      </c>
      <c r="Q179">
        <v>25</v>
      </c>
      <c r="R179">
        <v>6.22</v>
      </c>
      <c r="S179">
        <v>0</v>
      </c>
      <c r="T179">
        <v>0</v>
      </c>
      <c r="U179">
        <v>0</v>
      </c>
      <c r="V179">
        <v>0</v>
      </c>
      <c r="W179">
        <v>4.01</v>
      </c>
      <c r="X179">
        <v>0</v>
      </c>
      <c r="Y179">
        <v>0.2</v>
      </c>
      <c r="Z179">
        <v>0.2</v>
      </c>
      <c r="AA179">
        <v>0.02</v>
      </c>
      <c r="AB179">
        <v>0.01</v>
      </c>
      <c r="AC179">
        <v>1E-3</v>
      </c>
    </row>
    <row r="180" spans="1:29" x14ac:dyDescent="0.3">
      <c r="A180" t="s">
        <v>100</v>
      </c>
      <c r="B180" t="s">
        <v>139</v>
      </c>
      <c r="C180" t="s">
        <v>9</v>
      </c>
      <c r="D180">
        <v>25</v>
      </c>
      <c r="E180">
        <v>76</v>
      </c>
      <c r="F180">
        <v>2</v>
      </c>
      <c r="G180">
        <v>25</v>
      </c>
      <c r="H180">
        <v>1</v>
      </c>
      <c r="I180" t="s">
        <v>21</v>
      </c>
      <c r="J180">
        <v>25</v>
      </c>
      <c r="K180">
        <v>2</v>
      </c>
      <c r="L180">
        <v>2</v>
      </c>
      <c r="M180">
        <v>-1</v>
      </c>
      <c r="N180">
        <v>556.06299999999999</v>
      </c>
      <c r="O180">
        <v>0.56079011098986997</v>
      </c>
      <c r="P180">
        <v>7.0220504869664947E-7</v>
      </c>
      <c r="Q180">
        <v>25</v>
      </c>
      <c r="R180">
        <v>6.22</v>
      </c>
      <c r="S180">
        <v>0</v>
      </c>
      <c r="T180">
        <v>0</v>
      </c>
      <c r="U180">
        <v>0</v>
      </c>
      <c r="V180">
        <v>0</v>
      </c>
      <c r="W180">
        <v>4.01</v>
      </c>
      <c r="X180">
        <v>0</v>
      </c>
      <c r="Y180">
        <v>0.2</v>
      </c>
      <c r="Z180">
        <v>0.2</v>
      </c>
      <c r="AA180">
        <v>0.02</v>
      </c>
      <c r="AB180">
        <v>0.01</v>
      </c>
      <c r="AC180">
        <v>1E-3</v>
      </c>
    </row>
    <row r="181" spans="1:29" x14ac:dyDescent="0.3">
      <c r="A181" t="s">
        <v>101</v>
      </c>
      <c r="B181" t="s">
        <v>139</v>
      </c>
      <c r="C181" t="s">
        <v>4</v>
      </c>
      <c r="D181">
        <v>25</v>
      </c>
      <c r="E181">
        <v>76</v>
      </c>
      <c r="F181">
        <v>2</v>
      </c>
      <c r="G181">
        <v>970</v>
      </c>
      <c r="H181">
        <v>0.5</v>
      </c>
      <c r="I181" t="s">
        <v>21</v>
      </c>
      <c r="J181">
        <v>700</v>
      </c>
      <c r="K181">
        <v>0.5</v>
      </c>
      <c r="L181">
        <v>2</v>
      </c>
      <c r="M181">
        <v>-1</v>
      </c>
      <c r="N181">
        <v>540</v>
      </c>
      <c r="O181">
        <v>0.58980591855772457</v>
      </c>
      <c r="P181">
        <v>7.0152612637489846E-7</v>
      </c>
      <c r="Q181">
        <v>25</v>
      </c>
      <c r="R181">
        <v>6.29</v>
      </c>
      <c r="S181">
        <v>0</v>
      </c>
      <c r="T181">
        <v>0</v>
      </c>
      <c r="U181">
        <v>0</v>
      </c>
      <c r="V181">
        <v>0</v>
      </c>
      <c r="W181">
        <v>4.1100000000000003</v>
      </c>
      <c r="X181">
        <v>0</v>
      </c>
      <c r="Y181">
        <v>0.05</v>
      </c>
      <c r="Z181">
        <v>0.13</v>
      </c>
      <c r="AA181">
        <v>0.08</v>
      </c>
      <c r="AB181">
        <v>0.03</v>
      </c>
      <c r="AC181">
        <v>0</v>
      </c>
    </row>
    <row r="182" spans="1:29" x14ac:dyDescent="0.3">
      <c r="A182" t="s">
        <v>102</v>
      </c>
      <c r="B182" t="s">
        <v>139</v>
      </c>
      <c r="C182" t="s">
        <v>4</v>
      </c>
      <c r="D182">
        <v>25</v>
      </c>
      <c r="E182">
        <v>76</v>
      </c>
      <c r="F182">
        <v>2</v>
      </c>
      <c r="G182">
        <v>970</v>
      </c>
      <c r="H182">
        <v>0.5</v>
      </c>
      <c r="I182" t="s">
        <v>21</v>
      </c>
      <c r="J182">
        <v>700</v>
      </c>
      <c r="K182">
        <v>0.5</v>
      </c>
      <c r="L182">
        <v>2</v>
      </c>
      <c r="M182">
        <v>-1</v>
      </c>
      <c r="N182">
        <v>464.76</v>
      </c>
      <c r="O182">
        <v>0.58980591855772457</v>
      </c>
      <c r="P182">
        <v>6.9806104681474371E-7</v>
      </c>
      <c r="Q182">
        <v>25</v>
      </c>
      <c r="R182">
        <v>6.22</v>
      </c>
      <c r="S182">
        <v>0</v>
      </c>
      <c r="T182">
        <v>0</v>
      </c>
      <c r="U182">
        <v>0</v>
      </c>
      <c r="V182">
        <v>0</v>
      </c>
      <c r="W182">
        <v>4.01</v>
      </c>
      <c r="X182">
        <v>0</v>
      </c>
      <c r="Y182">
        <v>0.2</v>
      </c>
      <c r="Z182">
        <v>0.2</v>
      </c>
      <c r="AA182">
        <v>0.02</v>
      </c>
      <c r="AB182">
        <v>0.01</v>
      </c>
      <c r="AC182">
        <v>1E-3</v>
      </c>
    </row>
    <row r="183" spans="1:29" x14ac:dyDescent="0.3">
      <c r="A183" t="s">
        <v>103</v>
      </c>
      <c r="B183" t="s">
        <v>139</v>
      </c>
      <c r="C183" t="s">
        <v>9</v>
      </c>
      <c r="D183">
        <v>25</v>
      </c>
      <c r="E183">
        <v>76</v>
      </c>
      <c r="F183">
        <v>2</v>
      </c>
      <c r="G183">
        <v>25</v>
      </c>
      <c r="H183">
        <v>2</v>
      </c>
      <c r="I183" t="s">
        <v>21</v>
      </c>
      <c r="J183">
        <v>600</v>
      </c>
      <c r="K183">
        <v>8</v>
      </c>
      <c r="L183">
        <v>2</v>
      </c>
      <c r="M183">
        <v>-1</v>
      </c>
      <c r="N183">
        <v>404.28</v>
      </c>
      <c r="O183">
        <v>0.56079011098986997</v>
      </c>
      <c r="P183">
        <v>6.94856893108659E-7</v>
      </c>
      <c r="Q183">
        <v>25</v>
      </c>
      <c r="R183">
        <v>6.22</v>
      </c>
      <c r="S183">
        <v>0</v>
      </c>
      <c r="T183">
        <v>0</v>
      </c>
      <c r="U183">
        <v>0</v>
      </c>
      <c r="V183">
        <v>0</v>
      </c>
      <c r="W183">
        <v>4.01</v>
      </c>
      <c r="X183">
        <v>0</v>
      </c>
      <c r="Y183">
        <v>0.2</v>
      </c>
      <c r="Z183">
        <v>0.2</v>
      </c>
      <c r="AA183">
        <v>0.02</v>
      </c>
      <c r="AB183">
        <v>0.01</v>
      </c>
      <c r="AC183">
        <v>1E-3</v>
      </c>
    </row>
    <row r="184" spans="1:29" x14ac:dyDescent="0.3">
      <c r="A184" t="s">
        <v>104</v>
      </c>
      <c r="B184" t="s">
        <v>139</v>
      </c>
      <c r="C184" t="s">
        <v>9</v>
      </c>
      <c r="D184">
        <v>25</v>
      </c>
      <c r="E184">
        <v>76</v>
      </c>
      <c r="F184">
        <v>2</v>
      </c>
      <c r="G184">
        <v>25</v>
      </c>
      <c r="H184">
        <v>2</v>
      </c>
      <c r="I184" t="s">
        <v>21</v>
      </c>
      <c r="J184">
        <v>25</v>
      </c>
      <c r="K184">
        <v>1</v>
      </c>
      <c r="L184">
        <v>2</v>
      </c>
      <c r="M184">
        <v>0.1</v>
      </c>
      <c r="N184">
        <v>621</v>
      </c>
      <c r="O184">
        <v>1.0087984758717261</v>
      </c>
      <c r="P184">
        <v>7.047691388301524E-7</v>
      </c>
      <c r="Q184">
        <v>25</v>
      </c>
      <c r="R184">
        <v>6.2</v>
      </c>
      <c r="S184">
        <v>1.95</v>
      </c>
      <c r="T184">
        <v>3.8</v>
      </c>
      <c r="U184">
        <v>0</v>
      </c>
      <c r="V184">
        <v>2</v>
      </c>
      <c r="W184">
        <v>0</v>
      </c>
      <c r="X184">
        <v>0</v>
      </c>
      <c r="Y184">
        <v>0</v>
      </c>
      <c r="Z184">
        <v>0.03</v>
      </c>
      <c r="AA184">
        <v>2.1000000000000001E-2</v>
      </c>
      <c r="AB184">
        <v>4.0000000000000001E-3</v>
      </c>
      <c r="AC184">
        <v>8.0000000000000002E-3</v>
      </c>
    </row>
    <row r="185" spans="1:29" x14ac:dyDescent="0.3">
      <c r="A185" t="s">
        <v>105</v>
      </c>
      <c r="B185" t="s">
        <v>139</v>
      </c>
      <c r="C185" t="s">
        <v>9</v>
      </c>
      <c r="D185">
        <v>25</v>
      </c>
      <c r="E185">
        <v>76</v>
      </c>
      <c r="F185">
        <v>2</v>
      </c>
      <c r="G185">
        <v>25</v>
      </c>
      <c r="H185">
        <v>2</v>
      </c>
      <c r="I185" t="s">
        <v>21</v>
      </c>
      <c r="J185">
        <v>25</v>
      </c>
      <c r="K185">
        <v>1</v>
      </c>
      <c r="L185">
        <v>2</v>
      </c>
      <c r="M185">
        <v>-1</v>
      </c>
      <c r="N185">
        <v>500</v>
      </c>
      <c r="O185">
        <v>1.0099075945242479</v>
      </c>
      <c r="P185">
        <v>6.9974671095948523E-7</v>
      </c>
      <c r="Q185">
        <v>25</v>
      </c>
      <c r="R185">
        <v>5.8</v>
      </c>
      <c r="S185">
        <v>4</v>
      </c>
      <c r="T185">
        <v>3.72</v>
      </c>
      <c r="U185">
        <v>0.69</v>
      </c>
      <c r="V185">
        <v>0.54</v>
      </c>
      <c r="W185">
        <v>0</v>
      </c>
      <c r="X185">
        <v>0.34</v>
      </c>
      <c r="Y185">
        <v>8.9999999999999993E-3</v>
      </c>
      <c r="Z185">
        <v>0.105</v>
      </c>
      <c r="AA185">
        <v>0.05</v>
      </c>
      <c r="AB185">
        <v>2.5000000000000001E-3</v>
      </c>
      <c r="AC185">
        <v>4.0000000000000001E-3</v>
      </c>
    </row>
    <row r="186" spans="1:29" x14ac:dyDescent="0.3">
      <c r="A186" t="s">
        <v>106</v>
      </c>
      <c r="B186" t="s">
        <v>139</v>
      </c>
      <c r="C186" t="s">
        <v>4</v>
      </c>
      <c r="D186">
        <v>25</v>
      </c>
      <c r="E186">
        <v>76</v>
      </c>
      <c r="F186">
        <v>2</v>
      </c>
      <c r="G186">
        <v>970</v>
      </c>
      <c r="H186">
        <v>0.5</v>
      </c>
      <c r="I186" t="s">
        <v>21</v>
      </c>
      <c r="J186">
        <v>700</v>
      </c>
      <c r="K186">
        <v>0.5</v>
      </c>
      <c r="L186">
        <v>2</v>
      </c>
      <c r="M186">
        <v>0.1</v>
      </c>
      <c r="N186">
        <v>460</v>
      </c>
      <c r="O186">
        <v>1.0099075945242479</v>
      </c>
      <c r="P186">
        <v>6.9782393929713368E-7</v>
      </c>
      <c r="Q186">
        <v>25</v>
      </c>
      <c r="R186">
        <v>5.8</v>
      </c>
      <c r="S186">
        <v>4</v>
      </c>
      <c r="T186">
        <v>3.72</v>
      </c>
      <c r="U186">
        <v>0.69</v>
      </c>
      <c r="V186">
        <v>0.54</v>
      </c>
      <c r="W186">
        <v>0</v>
      </c>
      <c r="X186">
        <v>0.34</v>
      </c>
      <c r="Y186">
        <v>8.9999999999999993E-3</v>
      </c>
      <c r="Z186">
        <v>0.105</v>
      </c>
      <c r="AA186">
        <v>0.05</v>
      </c>
      <c r="AB186">
        <v>2.5000000000000001E-3</v>
      </c>
      <c r="AC186">
        <v>4.0000000000000001E-3</v>
      </c>
    </row>
    <row r="187" spans="1:29" x14ac:dyDescent="0.3">
      <c r="A187" t="s">
        <v>107</v>
      </c>
      <c r="B187" t="s">
        <v>139</v>
      </c>
      <c r="C187" t="s">
        <v>4</v>
      </c>
      <c r="D187">
        <v>25</v>
      </c>
      <c r="E187">
        <v>76</v>
      </c>
      <c r="F187">
        <v>2</v>
      </c>
      <c r="G187">
        <v>932</v>
      </c>
      <c r="H187">
        <v>1</v>
      </c>
      <c r="I187" t="s">
        <v>21</v>
      </c>
      <c r="J187">
        <v>704</v>
      </c>
      <c r="K187">
        <v>2</v>
      </c>
      <c r="L187">
        <v>2</v>
      </c>
      <c r="M187">
        <v>-1</v>
      </c>
      <c r="N187">
        <v>373.46699999999998</v>
      </c>
      <c r="O187">
        <v>0.56079011098986997</v>
      </c>
      <c r="P187">
        <v>6.9304140105534451E-7</v>
      </c>
      <c r="Q187">
        <v>25</v>
      </c>
      <c r="R187">
        <v>6.22</v>
      </c>
      <c r="S187">
        <v>0</v>
      </c>
      <c r="T187">
        <v>0</v>
      </c>
      <c r="U187">
        <v>0</v>
      </c>
      <c r="V187">
        <v>0</v>
      </c>
      <c r="W187">
        <v>4.01</v>
      </c>
      <c r="X187">
        <v>0</v>
      </c>
      <c r="Y187">
        <v>0.2</v>
      </c>
      <c r="Z187">
        <v>0.2</v>
      </c>
      <c r="AA187">
        <v>0.02</v>
      </c>
      <c r="AB187">
        <v>0.01</v>
      </c>
      <c r="AC187">
        <v>1E-3</v>
      </c>
    </row>
    <row r="188" spans="1:29" x14ac:dyDescent="0.3">
      <c r="A188" t="s">
        <v>22</v>
      </c>
      <c r="B188" t="s">
        <v>139</v>
      </c>
      <c r="C188" t="s">
        <v>4</v>
      </c>
      <c r="D188">
        <v>25</v>
      </c>
      <c r="E188">
        <v>76</v>
      </c>
      <c r="F188">
        <v>2</v>
      </c>
      <c r="G188">
        <v>932</v>
      </c>
      <c r="H188">
        <v>1</v>
      </c>
      <c r="I188" t="s">
        <v>21</v>
      </c>
      <c r="J188">
        <v>704</v>
      </c>
      <c r="K188">
        <v>2</v>
      </c>
      <c r="L188">
        <v>2</v>
      </c>
      <c r="M188">
        <v>-1</v>
      </c>
      <c r="N188">
        <v>390</v>
      </c>
      <c r="O188">
        <v>0.56079011098986997</v>
      </c>
      <c r="P188">
        <v>6.9403278721720643E-7</v>
      </c>
      <c r="Q188">
        <v>25</v>
      </c>
      <c r="R188">
        <v>6.27</v>
      </c>
      <c r="S188">
        <v>0</v>
      </c>
      <c r="T188">
        <v>0</v>
      </c>
      <c r="U188">
        <v>0</v>
      </c>
      <c r="V188">
        <v>0</v>
      </c>
      <c r="W188">
        <v>4.1900000000000004</v>
      </c>
      <c r="X188">
        <v>0</v>
      </c>
      <c r="Y188">
        <v>0.2</v>
      </c>
      <c r="Z188">
        <v>0.18</v>
      </c>
      <c r="AA188">
        <v>0</v>
      </c>
      <c r="AB188">
        <v>1.2E-2</v>
      </c>
      <c r="AC188">
        <v>0</v>
      </c>
    </row>
    <row r="189" spans="1:29" x14ac:dyDescent="0.3">
      <c r="A189" t="s">
        <v>108</v>
      </c>
      <c r="B189" t="s">
        <v>139</v>
      </c>
      <c r="C189" t="s">
        <v>4</v>
      </c>
      <c r="D189">
        <v>25</v>
      </c>
      <c r="E189">
        <v>76</v>
      </c>
      <c r="F189">
        <v>2</v>
      </c>
      <c r="G189">
        <v>932</v>
      </c>
      <c r="H189">
        <v>1</v>
      </c>
      <c r="I189" t="s">
        <v>21</v>
      </c>
      <c r="J189">
        <v>704</v>
      </c>
      <c r="K189">
        <v>2</v>
      </c>
      <c r="L189">
        <v>2</v>
      </c>
      <c r="M189">
        <v>0.1</v>
      </c>
      <c r="N189">
        <v>556</v>
      </c>
      <c r="O189">
        <v>0.56079011098986997</v>
      </c>
      <c r="P189">
        <v>7.0220242315912406E-7</v>
      </c>
      <c r="Q189">
        <v>25</v>
      </c>
      <c r="R189">
        <v>6.27</v>
      </c>
      <c r="S189">
        <v>0</v>
      </c>
      <c r="T189">
        <v>0</v>
      </c>
      <c r="U189">
        <v>0</v>
      </c>
      <c r="V189">
        <v>0</v>
      </c>
      <c r="W189">
        <v>4.1900000000000004</v>
      </c>
      <c r="X189">
        <v>0</v>
      </c>
      <c r="Y189">
        <v>0.2</v>
      </c>
      <c r="Z189">
        <v>0.18</v>
      </c>
      <c r="AA189">
        <v>0</v>
      </c>
      <c r="AB189">
        <v>1.2E-2</v>
      </c>
      <c r="AC189">
        <v>0</v>
      </c>
    </row>
    <row r="190" spans="1:29" x14ac:dyDescent="0.3">
      <c r="A190" t="s">
        <v>109</v>
      </c>
      <c r="B190" t="s">
        <v>139</v>
      </c>
      <c r="C190" t="s">
        <v>4</v>
      </c>
      <c r="D190">
        <v>25</v>
      </c>
      <c r="E190">
        <v>76</v>
      </c>
      <c r="F190">
        <v>2</v>
      </c>
      <c r="G190">
        <v>932</v>
      </c>
      <c r="H190">
        <v>1</v>
      </c>
      <c r="I190" t="s">
        <v>21</v>
      </c>
      <c r="J190">
        <v>704</v>
      </c>
      <c r="K190">
        <v>2</v>
      </c>
      <c r="L190">
        <v>2</v>
      </c>
      <c r="M190">
        <v>0.5</v>
      </c>
      <c r="N190">
        <v>640</v>
      </c>
      <c r="O190">
        <v>0.56079011098986997</v>
      </c>
      <c r="P190">
        <v>7.0547039738631123E-7</v>
      </c>
      <c r="Q190">
        <v>25</v>
      </c>
      <c r="R190">
        <v>6.27</v>
      </c>
      <c r="S190">
        <v>0</v>
      </c>
      <c r="T190">
        <v>0</v>
      </c>
      <c r="U190">
        <v>0</v>
      </c>
      <c r="V190">
        <v>0</v>
      </c>
      <c r="W190">
        <v>4.1900000000000004</v>
      </c>
      <c r="X190">
        <v>0</v>
      </c>
      <c r="Y190">
        <v>0.2</v>
      </c>
      <c r="Z190">
        <v>0.18</v>
      </c>
      <c r="AA190">
        <v>0</v>
      </c>
      <c r="AB190">
        <v>1.2E-2</v>
      </c>
      <c r="AC190">
        <v>0</v>
      </c>
    </row>
    <row r="191" spans="1:29" x14ac:dyDescent="0.3">
      <c r="A191" t="s">
        <v>110</v>
      </c>
      <c r="B191" t="s">
        <v>139</v>
      </c>
      <c r="C191" t="s">
        <v>4</v>
      </c>
      <c r="D191">
        <v>25</v>
      </c>
      <c r="E191">
        <v>76</v>
      </c>
      <c r="F191">
        <v>2</v>
      </c>
      <c r="G191">
        <v>925</v>
      </c>
      <c r="H191">
        <v>1</v>
      </c>
      <c r="I191" t="s">
        <v>21</v>
      </c>
      <c r="J191">
        <v>700</v>
      </c>
      <c r="K191">
        <v>2</v>
      </c>
      <c r="L191">
        <v>2</v>
      </c>
      <c r="M191">
        <v>0.8</v>
      </c>
      <c r="N191">
        <v>900</v>
      </c>
      <c r="O191">
        <v>0.56079011098986997</v>
      </c>
      <c r="P191">
        <v>7.1345216221460716E-7</v>
      </c>
      <c r="Q191">
        <v>25</v>
      </c>
      <c r="R191">
        <v>6.27</v>
      </c>
      <c r="S191">
        <v>0</v>
      </c>
      <c r="T191">
        <v>0</v>
      </c>
      <c r="U191">
        <v>0</v>
      </c>
      <c r="V191">
        <v>0</v>
      </c>
      <c r="W191">
        <v>4.1900000000000004</v>
      </c>
      <c r="X191">
        <v>0</v>
      </c>
      <c r="Y191">
        <v>0.2</v>
      </c>
      <c r="Z191">
        <v>0.18</v>
      </c>
      <c r="AA191">
        <v>0</v>
      </c>
      <c r="AB191">
        <v>1.2E-2</v>
      </c>
      <c r="AC191">
        <v>0</v>
      </c>
    </row>
    <row r="192" spans="1:29" x14ac:dyDescent="0.3">
      <c r="A192" t="s">
        <v>111</v>
      </c>
      <c r="B192" t="s">
        <v>139</v>
      </c>
      <c r="C192" t="s">
        <v>4</v>
      </c>
      <c r="D192">
        <v>25</v>
      </c>
      <c r="E192">
        <v>76</v>
      </c>
      <c r="F192">
        <v>2</v>
      </c>
      <c r="G192">
        <v>925</v>
      </c>
      <c r="H192">
        <v>1</v>
      </c>
      <c r="I192" t="s">
        <v>21</v>
      </c>
      <c r="J192">
        <v>700</v>
      </c>
      <c r="K192">
        <v>2</v>
      </c>
      <c r="L192">
        <v>2</v>
      </c>
      <c r="M192">
        <v>0.1</v>
      </c>
      <c r="N192">
        <v>540</v>
      </c>
      <c r="O192">
        <v>0.56079011098986997</v>
      </c>
      <c r="P192">
        <v>7.0152612637489846E-7</v>
      </c>
      <c r="Q192">
        <v>25</v>
      </c>
      <c r="R192">
        <v>6.27</v>
      </c>
      <c r="S192">
        <v>0</v>
      </c>
      <c r="T192">
        <v>0</v>
      </c>
      <c r="U192">
        <v>0</v>
      </c>
      <c r="V192">
        <v>0</v>
      </c>
      <c r="W192">
        <v>4.1900000000000004</v>
      </c>
      <c r="X192">
        <v>0</v>
      </c>
      <c r="Y192">
        <v>0.2</v>
      </c>
      <c r="Z192">
        <v>0.18</v>
      </c>
      <c r="AA192">
        <v>0</v>
      </c>
      <c r="AB192">
        <v>1.2E-2</v>
      </c>
      <c r="AC192">
        <v>4.1000000000000003E-3</v>
      </c>
    </row>
    <row r="193" spans="1:29" x14ac:dyDescent="0.3">
      <c r="A193" t="s">
        <v>112</v>
      </c>
      <c r="B193" t="s">
        <v>139</v>
      </c>
      <c r="C193" t="s">
        <v>9</v>
      </c>
      <c r="D193">
        <v>25</v>
      </c>
      <c r="E193">
        <v>76</v>
      </c>
      <c r="F193">
        <v>2</v>
      </c>
      <c r="G193">
        <v>25</v>
      </c>
      <c r="H193">
        <v>2</v>
      </c>
      <c r="I193" t="s">
        <v>21</v>
      </c>
      <c r="J193">
        <v>25</v>
      </c>
      <c r="K193">
        <v>2</v>
      </c>
      <c r="L193">
        <v>2</v>
      </c>
      <c r="M193">
        <v>0.5</v>
      </c>
      <c r="N193">
        <v>640</v>
      </c>
      <c r="O193">
        <v>0.56079011098986997</v>
      </c>
      <c r="P193">
        <v>7.0547039738631123E-7</v>
      </c>
      <c r="Q193">
        <v>25</v>
      </c>
      <c r="R193">
        <v>6.27</v>
      </c>
      <c r="S193">
        <v>0</v>
      </c>
      <c r="T193">
        <v>0</v>
      </c>
      <c r="U193">
        <v>0</v>
      </c>
      <c r="V193">
        <v>0</v>
      </c>
      <c r="W193">
        <v>4.1900000000000004</v>
      </c>
      <c r="X193">
        <v>0</v>
      </c>
      <c r="Y193">
        <v>0.2</v>
      </c>
      <c r="Z193">
        <v>0.18</v>
      </c>
      <c r="AA193">
        <v>0</v>
      </c>
      <c r="AB193">
        <v>1.2E-2</v>
      </c>
      <c r="AC193">
        <v>4.1000000000000003E-3</v>
      </c>
    </row>
    <row r="194" spans="1:29" x14ac:dyDescent="0.3">
      <c r="A194" t="s">
        <v>113</v>
      </c>
      <c r="B194" t="s">
        <v>139</v>
      </c>
      <c r="C194" t="s">
        <v>9</v>
      </c>
      <c r="D194">
        <v>25</v>
      </c>
      <c r="E194">
        <v>76</v>
      </c>
      <c r="F194">
        <v>2</v>
      </c>
      <c r="G194">
        <v>25</v>
      </c>
      <c r="H194">
        <v>2</v>
      </c>
      <c r="I194" t="s">
        <v>21</v>
      </c>
      <c r="J194">
        <v>700</v>
      </c>
      <c r="K194">
        <v>2</v>
      </c>
      <c r="L194">
        <v>2</v>
      </c>
      <c r="M194">
        <v>-1</v>
      </c>
      <c r="N194">
        <v>520</v>
      </c>
      <c r="O194">
        <v>0.56079011098986997</v>
      </c>
      <c r="P194">
        <v>7.0065296795573415E-7</v>
      </c>
      <c r="Q194">
        <v>25</v>
      </c>
      <c r="R194">
        <v>6.29</v>
      </c>
      <c r="S194">
        <v>0</v>
      </c>
      <c r="T194">
        <v>0</v>
      </c>
      <c r="U194">
        <v>0</v>
      </c>
      <c r="V194">
        <v>0</v>
      </c>
      <c r="W194">
        <v>4.1100000000000003</v>
      </c>
      <c r="X194">
        <v>0</v>
      </c>
      <c r="Y194">
        <v>0.05</v>
      </c>
      <c r="Z194">
        <v>0.13</v>
      </c>
      <c r="AA194">
        <v>0.08</v>
      </c>
      <c r="AB194">
        <v>0.03</v>
      </c>
      <c r="AC194">
        <v>0</v>
      </c>
    </row>
    <row r="195" spans="1:29" x14ac:dyDescent="0.3">
      <c r="A195" t="s">
        <v>114</v>
      </c>
      <c r="B195" t="s">
        <v>139</v>
      </c>
      <c r="C195" t="s">
        <v>9</v>
      </c>
      <c r="D195">
        <v>25</v>
      </c>
      <c r="E195">
        <v>76</v>
      </c>
      <c r="F195">
        <v>2</v>
      </c>
      <c r="G195">
        <v>25</v>
      </c>
      <c r="H195">
        <v>2</v>
      </c>
      <c r="I195" t="s">
        <v>21</v>
      </c>
      <c r="J195">
        <v>700</v>
      </c>
      <c r="K195">
        <v>2</v>
      </c>
      <c r="L195">
        <v>2</v>
      </c>
      <c r="M195">
        <v>0.1</v>
      </c>
      <c r="N195">
        <v>498</v>
      </c>
      <c r="O195">
        <v>0.56079011098986997</v>
      </c>
      <c r="P195">
        <v>6.996541652868005E-7</v>
      </c>
      <c r="Q195">
        <v>25</v>
      </c>
      <c r="R195">
        <v>6.3</v>
      </c>
      <c r="S195">
        <v>0</v>
      </c>
      <c r="T195">
        <v>0</v>
      </c>
      <c r="U195">
        <v>0</v>
      </c>
      <c r="V195">
        <v>0</v>
      </c>
      <c r="W195">
        <v>4.2</v>
      </c>
      <c r="X195">
        <v>0</v>
      </c>
      <c r="Y195">
        <v>0.19</v>
      </c>
      <c r="Z195">
        <v>0.19</v>
      </c>
      <c r="AA195">
        <v>0</v>
      </c>
      <c r="AB195">
        <v>1.2999999999999999E-2</v>
      </c>
      <c r="AC195">
        <v>4.1000000000000003E-3</v>
      </c>
    </row>
    <row r="196" spans="1:29" x14ac:dyDescent="0.3">
      <c r="A196" t="s">
        <v>115</v>
      </c>
      <c r="B196" t="s">
        <v>139</v>
      </c>
      <c r="C196" t="s">
        <v>9</v>
      </c>
      <c r="D196">
        <v>25</v>
      </c>
      <c r="E196">
        <v>76</v>
      </c>
      <c r="F196">
        <v>2</v>
      </c>
      <c r="G196">
        <v>25</v>
      </c>
      <c r="H196">
        <v>2</v>
      </c>
      <c r="I196" t="s">
        <v>21</v>
      </c>
      <c r="J196">
        <v>700</v>
      </c>
      <c r="K196">
        <v>2</v>
      </c>
      <c r="L196">
        <v>2</v>
      </c>
      <c r="M196">
        <v>0.5</v>
      </c>
      <c r="N196">
        <v>582</v>
      </c>
      <c r="O196">
        <v>0.56079011098986997</v>
      </c>
      <c r="P196">
        <v>7.0326226354482357E-7</v>
      </c>
      <c r="Q196">
        <v>25</v>
      </c>
      <c r="R196">
        <v>6.3</v>
      </c>
      <c r="S196">
        <v>0</v>
      </c>
      <c r="T196">
        <v>0</v>
      </c>
      <c r="U196">
        <v>0</v>
      </c>
      <c r="V196">
        <v>0</v>
      </c>
      <c r="W196">
        <v>4.2</v>
      </c>
      <c r="X196">
        <v>0</v>
      </c>
      <c r="Y196">
        <v>0.19</v>
      </c>
      <c r="Z196">
        <v>0.19</v>
      </c>
      <c r="AA196">
        <v>0</v>
      </c>
      <c r="AB196">
        <v>1.2999999999999999E-2</v>
      </c>
      <c r="AC196">
        <v>4.1000000000000003E-3</v>
      </c>
    </row>
    <row r="197" spans="1:29" x14ac:dyDescent="0.3">
      <c r="A197" t="s">
        <v>116</v>
      </c>
      <c r="B197" t="s">
        <v>139</v>
      </c>
      <c r="C197" t="s">
        <v>9</v>
      </c>
      <c r="D197">
        <v>25</v>
      </c>
      <c r="E197">
        <v>76</v>
      </c>
      <c r="F197">
        <v>2</v>
      </c>
      <c r="G197">
        <v>25</v>
      </c>
      <c r="H197">
        <v>2</v>
      </c>
      <c r="I197" t="s">
        <v>21</v>
      </c>
      <c r="J197">
        <v>500</v>
      </c>
      <c r="K197">
        <v>24</v>
      </c>
      <c r="L197">
        <v>2</v>
      </c>
      <c r="M197">
        <v>0</v>
      </c>
      <c r="N197">
        <v>680</v>
      </c>
      <c r="O197">
        <v>0.56079011098986997</v>
      </c>
      <c r="P197">
        <v>7.068831830428903E-7</v>
      </c>
      <c r="Q197">
        <v>25</v>
      </c>
      <c r="R197">
        <v>6.27</v>
      </c>
      <c r="S197">
        <v>0</v>
      </c>
      <c r="T197">
        <v>0</v>
      </c>
      <c r="U197">
        <v>0</v>
      </c>
      <c r="V197">
        <v>0</v>
      </c>
      <c r="W197">
        <v>4.1900000000000004</v>
      </c>
      <c r="X197">
        <v>0</v>
      </c>
      <c r="Y197">
        <v>0.2</v>
      </c>
      <c r="Z197">
        <v>0.18</v>
      </c>
      <c r="AA197">
        <v>0</v>
      </c>
      <c r="AB197">
        <v>1.2E-2</v>
      </c>
      <c r="AC197">
        <v>4.1000000000000003E-3</v>
      </c>
    </row>
    <row r="198" spans="1:29" x14ac:dyDescent="0.3">
      <c r="A198" t="s">
        <v>117</v>
      </c>
      <c r="B198" t="s">
        <v>139</v>
      </c>
      <c r="C198" t="s">
        <v>9</v>
      </c>
      <c r="D198">
        <v>25</v>
      </c>
      <c r="E198">
        <v>76</v>
      </c>
      <c r="F198">
        <v>2</v>
      </c>
      <c r="G198">
        <v>25</v>
      </c>
      <c r="H198">
        <v>2</v>
      </c>
      <c r="I198" t="s">
        <v>21</v>
      </c>
      <c r="J198">
        <v>500</v>
      </c>
      <c r="K198">
        <v>24</v>
      </c>
      <c r="L198">
        <v>2</v>
      </c>
      <c r="M198">
        <v>0</v>
      </c>
      <c r="N198">
        <v>540</v>
      </c>
      <c r="O198">
        <v>0.56079011098986997</v>
      </c>
      <c r="P198">
        <v>7.0152612637489846E-7</v>
      </c>
      <c r="Q198">
        <v>25</v>
      </c>
      <c r="R198">
        <v>6.27</v>
      </c>
      <c r="S198">
        <v>0</v>
      </c>
      <c r="T198">
        <v>0</v>
      </c>
      <c r="U198">
        <v>0</v>
      </c>
      <c r="V198">
        <v>0</v>
      </c>
      <c r="W198">
        <v>4.1900000000000004</v>
      </c>
      <c r="X198">
        <v>0</v>
      </c>
      <c r="Y198">
        <v>0.2</v>
      </c>
      <c r="Z198">
        <v>0.18</v>
      </c>
      <c r="AA198">
        <v>0</v>
      </c>
      <c r="AB198">
        <v>1.2E-2</v>
      </c>
      <c r="AC198">
        <v>4.1000000000000003E-3</v>
      </c>
    </row>
    <row r="199" spans="1:29" x14ac:dyDescent="0.3">
      <c r="A199" t="s">
        <v>118</v>
      </c>
      <c r="B199" t="s">
        <v>139</v>
      </c>
      <c r="C199" t="s">
        <v>9</v>
      </c>
      <c r="D199">
        <v>25</v>
      </c>
      <c r="E199">
        <v>76</v>
      </c>
      <c r="F199">
        <v>2</v>
      </c>
      <c r="G199">
        <v>25</v>
      </c>
      <c r="H199">
        <v>2</v>
      </c>
      <c r="I199" t="s">
        <v>21</v>
      </c>
      <c r="J199">
        <v>500</v>
      </c>
      <c r="K199">
        <v>24</v>
      </c>
      <c r="L199">
        <v>2</v>
      </c>
      <c r="M199">
        <v>0</v>
      </c>
      <c r="N199">
        <v>600</v>
      </c>
      <c r="O199">
        <v>0.56079011098986997</v>
      </c>
      <c r="P199">
        <v>7.0396950569851215E-7</v>
      </c>
      <c r="Q199">
        <v>25</v>
      </c>
      <c r="R199">
        <v>6.27</v>
      </c>
      <c r="S199">
        <v>0</v>
      </c>
      <c r="T199">
        <v>0</v>
      </c>
      <c r="U199">
        <v>0</v>
      </c>
      <c r="V199">
        <v>0</v>
      </c>
      <c r="W199">
        <v>4.1900000000000004</v>
      </c>
      <c r="X199">
        <v>0</v>
      </c>
      <c r="Y199">
        <v>0.2</v>
      </c>
      <c r="Z199">
        <v>0.18</v>
      </c>
      <c r="AA199">
        <v>0</v>
      </c>
      <c r="AB199">
        <v>1.2E-2</v>
      </c>
      <c r="AC199">
        <v>4.1000000000000003E-3</v>
      </c>
    </row>
    <row r="200" spans="1:29" x14ac:dyDescent="0.3">
      <c r="A200" t="s">
        <v>119</v>
      </c>
      <c r="B200" t="s">
        <v>139</v>
      </c>
      <c r="C200" t="s">
        <v>9</v>
      </c>
      <c r="D200">
        <v>25</v>
      </c>
      <c r="E200">
        <v>76</v>
      </c>
      <c r="F200">
        <v>2</v>
      </c>
      <c r="G200">
        <v>25</v>
      </c>
      <c r="H200">
        <v>2</v>
      </c>
      <c r="I200" t="s">
        <v>21</v>
      </c>
      <c r="J200">
        <v>500</v>
      </c>
      <c r="K200">
        <v>24</v>
      </c>
      <c r="L200">
        <v>2</v>
      </c>
      <c r="M200">
        <v>0</v>
      </c>
      <c r="N200">
        <v>730</v>
      </c>
      <c r="O200">
        <v>0.56079011098986997</v>
      </c>
      <c r="P200">
        <v>7.085402236252149E-7</v>
      </c>
      <c r="Q200">
        <v>25</v>
      </c>
      <c r="R200">
        <v>6.27</v>
      </c>
      <c r="S200">
        <v>0</v>
      </c>
      <c r="T200">
        <v>0</v>
      </c>
      <c r="U200">
        <v>0</v>
      </c>
      <c r="V200">
        <v>0</v>
      </c>
      <c r="W200">
        <v>4.1900000000000004</v>
      </c>
      <c r="X200">
        <v>0</v>
      </c>
      <c r="Y200">
        <v>0.2</v>
      </c>
      <c r="Z200">
        <v>0.18</v>
      </c>
      <c r="AA200">
        <v>0</v>
      </c>
      <c r="AB200">
        <v>1.2E-2</v>
      </c>
      <c r="AC200">
        <v>4.1000000000000003E-3</v>
      </c>
    </row>
    <row r="201" spans="1:29" x14ac:dyDescent="0.3">
      <c r="A201" t="s">
        <v>120</v>
      </c>
      <c r="B201" t="s">
        <v>139</v>
      </c>
      <c r="C201" t="s">
        <v>9</v>
      </c>
      <c r="D201">
        <v>25</v>
      </c>
      <c r="E201">
        <v>76</v>
      </c>
      <c r="F201">
        <v>2</v>
      </c>
      <c r="G201">
        <v>25</v>
      </c>
      <c r="H201">
        <v>2</v>
      </c>
      <c r="I201" t="s">
        <v>21</v>
      </c>
      <c r="J201">
        <v>500</v>
      </c>
      <c r="K201">
        <v>24</v>
      </c>
      <c r="L201">
        <v>2</v>
      </c>
      <c r="M201">
        <v>0</v>
      </c>
      <c r="N201">
        <v>800</v>
      </c>
      <c r="O201">
        <v>0.56079011098986997</v>
      </c>
      <c r="P201">
        <v>7.1068446995952741E-7</v>
      </c>
      <c r="Q201">
        <v>25</v>
      </c>
      <c r="R201">
        <v>6.27</v>
      </c>
      <c r="S201">
        <v>0</v>
      </c>
      <c r="T201">
        <v>0</v>
      </c>
      <c r="U201">
        <v>0</v>
      </c>
      <c r="V201">
        <v>0</v>
      </c>
      <c r="W201">
        <v>4.1900000000000004</v>
      </c>
      <c r="X201">
        <v>0</v>
      </c>
      <c r="Y201">
        <v>0.2</v>
      </c>
      <c r="Z201">
        <v>0.18</v>
      </c>
      <c r="AA201">
        <v>0</v>
      </c>
      <c r="AB201">
        <v>1.2E-2</v>
      </c>
      <c r="AC201">
        <v>4.1000000000000003E-3</v>
      </c>
    </row>
    <row r="202" spans="1:29" x14ac:dyDescent="0.3">
      <c r="A202" t="s">
        <v>121</v>
      </c>
      <c r="B202" t="s">
        <v>139</v>
      </c>
      <c r="C202" t="s">
        <v>4</v>
      </c>
      <c r="D202">
        <v>25</v>
      </c>
      <c r="E202">
        <v>76</v>
      </c>
      <c r="F202">
        <v>2</v>
      </c>
      <c r="G202">
        <v>1050</v>
      </c>
      <c r="H202">
        <v>0.25</v>
      </c>
      <c r="I202" t="s">
        <v>21</v>
      </c>
      <c r="J202">
        <v>500</v>
      </c>
      <c r="K202">
        <v>24</v>
      </c>
      <c r="L202">
        <v>2</v>
      </c>
      <c r="M202">
        <v>0</v>
      </c>
      <c r="N202">
        <v>680</v>
      </c>
      <c r="O202">
        <v>0.56079011098986997</v>
      </c>
      <c r="P202">
        <v>7.068831830428903E-7</v>
      </c>
      <c r="Q202">
        <v>25</v>
      </c>
      <c r="R202">
        <v>6.27</v>
      </c>
      <c r="S202">
        <v>0</v>
      </c>
      <c r="T202">
        <v>0</v>
      </c>
      <c r="U202">
        <v>0</v>
      </c>
      <c r="V202">
        <v>0</v>
      </c>
      <c r="W202">
        <v>4.1900000000000004</v>
      </c>
      <c r="X202">
        <v>0</v>
      </c>
      <c r="Y202">
        <v>0.2</v>
      </c>
      <c r="Z202">
        <v>0.18</v>
      </c>
      <c r="AA202">
        <v>0</v>
      </c>
      <c r="AB202">
        <v>1.2E-2</v>
      </c>
      <c r="AC202">
        <v>4.1000000000000003E-3</v>
      </c>
    </row>
    <row r="203" spans="1:29" x14ac:dyDescent="0.3">
      <c r="A203" t="s">
        <v>122</v>
      </c>
      <c r="B203" t="s">
        <v>139</v>
      </c>
      <c r="C203" t="s">
        <v>9</v>
      </c>
      <c r="D203">
        <v>25</v>
      </c>
      <c r="E203">
        <v>76</v>
      </c>
      <c r="F203">
        <v>2</v>
      </c>
      <c r="G203">
        <v>25</v>
      </c>
      <c r="H203">
        <v>1</v>
      </c>
      <c r="I203" t="s">
        <v>21</v>
      </c>
      <c r="J203">
        <v>595</v>
      </c>
      <c r="K203">
        <v>8</v>
      </c>
      <c r="L203">
        <v>2</v>
      </c>
      <c r="M203">
        <v>-1</v>
      </c>
      <c r="N203">
        <v>620</v>
      </c>
      <c r="O203">
        <v>0.56079011098986997</v>
      </c>
      <c r="P203">
        <v>7.04731658140099E-7</v>
      </c>
      <c r="Q203">
        <v>25</v>
      </c>
      <c r="R203">
        <v>6.4</v>
      </c>
      <c r="S203">
        <v>0</v>
      </c>
      <c r="T203">
        <v>0</v>
      </c>
      <c r="U203">
        <v>0</v>
      </c>
      <c r="V203">
        <v>0</v>
      </c>
      <c r="W203">
        <v>4</v>
      </c>
      <c r="X203">
        <v>0</v>
      </c>
      <c r="Y203">
        <v>0</v>
      </c>
      <c r="Z203">
        <v>0.19</v>
      </c>
      <c r="AA203">
        <v>0</v>
      </c>
      <c r="AB203">
        <v>0</v>
      </c>
      <c r="AC203">
        <v>0</v>
      </c>
    </row>
    <row r="204" spans="1:29" x14ac:dyDescent="0.3">
      <c r="A204" t="s">
        <v>123</v>
      </c>
      <c r="B204" t="s">
        <v>139</v>
      </c>
      <c r="C204" t="s">
        <v>9</v>
      </c>
      <c r="D204">
        <v>25</v>
      </c>
      <c r="E204">
        <v>76</v>
      </c>
      <c r="F204">
        <v>2</v>
      </c>
      <c r="G204">
        <v>25</v>
      </c>
      <c r="H204">
        <v>1</v>
      </c>
      <c r="I204" t="s">
        <v>21</v>
      </c>
      <c r="J204">
        <v>1300</v>
      </c>
      <c r="K204">
        <v>4</v>
      </c>
      <c r="L204">
        <v>2</v>
      </c>
      <c r="M204">
        <v>0.1</v>
      </c>
      <c r="N204">
        <v>750</v>
      </c>
      <c r="O204">
        <v>0.95917011249040085</v>
      </c>
      <c r="P204">
        <v>7.0917248530707131E-7</v>
      </c>
      <c r="Q204">
        <v>25</v>
      </c>
      <c r="R204">
        <v>6</v>
      </c>
      <c r="S204">
        <v>2</v>
      </c>
      <c r="T204">
        <v>4</v>
      </c>
      <c r="U204">
        <v>0</v>
      </c>
      <c r="V204">
        <v>6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</row>
    <row r="205" spans="1:29" x14ac:dyDescent="0.3">
      <c r="A205" t="s">
        <v>124</v>
      </c>
      <c r="B205" t="s">
        <v>139</v>
      </c>
      <c r="C205" t="s">
        <v>9</v>
      </c>
      <c r="D205">
        <v>25</v>
      </c>
      <c r="E205">
        <v>76</v>
      </c>
      <c r="F205">
        <v>2</v>
      </c>
      <c r="G205">
        <v>25</v>
      </c>
      <c r="H205">
        <v>1</v>
      </c>
      <c r="I205" t="s">
        <v>21</v>
      </c>
      <c r="J205">
        <v>1300</v>
      </c>
      <c r="K205">
        <v>4</v>
      </c>
      <c r="L205">
        <v>2</v>
      </c>
      <c r="M205">
        <v>0</v>
      </c>
      <c r="N205">
        <v>268.16000000000003</v>
      </c>
      <c r="O205">
        <v>0.54440322001040764</v>
      </c>
      <c r="P205">
        <v>6.8550694263994496E-7</v>
      </c>
      <c r="Q205">
        <v>25</v>
      </c>
      <c r="R205">
        <v>8.67</v>
      </c>
      <c r="S205">
        <v>0</v>
      </c>
      <c r="T205">
        <v>0</v>
      </c>
      <c r="U205">
        <v>18.7</v>
      </c>
      <c r="V205">
        <v>0</v>
      </c>
      <c r="W205">
        <v>0</v>
      </c>
      <c r="X205">
        <v>0</v>
      </c>
      <c r="Y205">
        <v>0</v>
      </c>
      <c r="Z205">
        <v>2E-3</v>
      </c>
      <c r="AA205">
        <v>1.6E-2</v>
      </c>
      <c r="AB205">
        <v>0.53</v>
      </c>
      <c r="AC205">
        <v>2.3E-2</v>
      </c>
    </row>
    <row r="206" spans="1:29" x14ac:dyDescent="0.3">
      <c r="A206" t="s">
        <v>125</v>
      </c>
      <c r="B206" t="s">
        <v>139</v>
      </c>
      <c r="C206" t="s">
        <v>9</v>
      </c>
      <c r="D206">
        <v>25</v>
      </c>
      <c r="E206">
        <v>76</v>
      </c>
      <c r="F206">
        <v>2</v>
      </c>
      <c r="G206">
        <v>25</v>
      </c>
      <c r="H206">
        <v>1</v>
      </c>
      <c r="I206" t="s">
        <v>21</v>
      </c>
      <c r="J206">
        <v>1300</v>
      </c>
      <c r="K206">
        <v>4</v>
      </c>
      <c r="L206">
        <v>2</v>
      </c>
      <c r="M206">
        <v>0</v>
      </c>
      <c r="N206">
        <v>206.5</v>
      </c>
      <c r="O206">
        <v>0.54440322001040764</v>
      </c>
      <c r="P206">
        <v>6.7962166914683587E-7</v>
      </c>
      <c r="Q206">
        <v>25</v>
      </c>
      <c r="R206">
        <v>8.67</v>
      </c>
      <c r="S206">
        <v>0</v>
      </c>
      <c r="T206">
        <v>0</v>
      </c>
      <c r="U206">
        <v>18.7</v>
      </c>
      <c r="V206">
        <v>0</v>
      </c>
      <c r="W206">
        <v>0</v>
      </c>
      <c r="X206">
        <v>0</v>
      </c>
      <c r="Y206">
        <v>0</v>
      </c>
      <c r="Z206">
        <v>2E-3</v>
      </c>
      <c r="AA206">
        <v>1.6E-2</v>
      </c>
      <c r="AB206">
        <v>0.53</v>
      </c>
      <c r="AC206">
        <v>2.3E-2</v>
      </c>
    </row>
    <row r="207" spans="1:29" x14ac:dyDescent="0.3">
      <c r="A207" t="s">
        <v>126</v>
      </c>
      <c r="B207" t="s">
        <v>139</v>
      </c>
      <c r="C207" t="s">
        <v>9</v>
      </c>
      <c r="D207">
        <v>25</v>
      </c>
      <c r="E207">
        <v>76</v>
      </c>
      <c r="F207">
        <v>2</v>
      </c>
      <c r="G207">
        <v>25</v>
      </c>
      <c r="H207">
        <v>1</v>
      </c>
      <c r="I207" t="s">
        <v>21</v>
      </c>
      <c r="J207">
        <v>800</v>
      </c>
      <c r="K207">
        <v>2</v>
      </c>
      <c r="L207">
        <v>2</v>
      </c>
      <c r="M207">
        <v>0</v>
      </c>
      <c r="N207">
        <v>298.43</v>
      </c>
      <c r="O207">
        <v>0.54440322001040764</v>
      </c>
      <c r="P207">
        <v>6.8793064695724391E-7</v>
      </c>
      <c r="Q207">
        <v>25</v>
      </c>
      <c r="R207">
        <v>8.67</v>
      </c>
      <c r="S207">
        <v>0</v>
      </c>
      <c r="T207">
        <v>0</v>
      </c>
      <c r="U207">
        <v>18.7</v>
      </c>
      <c r="V207">
        <v>0</v>
      </c>
      <c r="W207">
        <v>0</v>
      </c>
      <c r="X207">
        <v>0</v>
      </c>
      <c r="Y207">
        <v>0</v>
      </c>
      <c r="Z207">
        <v>2E-3</v>
      </c>
      <c r="AA207">
        <v>1.6E-2</v>
      </c>
      <c r="AB207">
        <v>0.53</v>
      </c>
      <c r="AC207">
        <v>2.3E-2</v>
      </c>
    </row>
    <row r="208" spans="1:29" x14ac:dyDescent="0.3">
      <c r="A208" t="s">
        <v>127</v>
      </c>
      <c r="B208" t="s">
        <v>139</v>
      </c>
      <c r="C208" t="s">
        <v>9</v>
      </c>
      <c r="D208">
        <v>25</v>
      </c>
      <c r="E208">
        <v>76</v>
      </c>
      <c r="F208">
        <v>2</v>
      </c>
      <c r="G208">
        <v>25</v>
      </c>
      <c r="H208">
        <v>1</v>
      </c>
      <c r="I208" t="s">
        <v>21</v>
      </c>
      <c r="J208">
        <v>800</v>
      </c>
      <c r="K208">
        <v>2</v>
      </c>
      <c r="L208">
        <v>2</v>
      </c>
      <c r="M208">
        <v>0.1</v>
      </c>
      <c r="N208">
        <v>1098.3499999999999</v>
      </c>
      <c r="O208">
        <v>0.95917011249040085</v>
      </c>
      <c r="P208">
        <v>7.181568389237017E-7</v>
      </c>
      <c r="Q208">
        <v>25</v>
      </c>
      <c r="R208">
        <v>6.12</v>
      </c>
      <c r="S208">
        <v>2.1800000000000002</v>
      </c>
      <c r="T208">
        <v>4.3499999999999996</v>
      </c>
      <c r="U208">
        <v>0</v>
      </c>
      <c r="V208">
        <v>2.19</v>
      </c>
      <c r="W208">
        <v>0</v>
      </c>
      <c r="X208">
        <v>0.1</v>
      </c>
      <c r="Y208">
        <v>0.1</v>
      </c>
      <c r="Z208">
        <v>0.1</v>
      </c>
      <c r="AA208">
        <v>0.01</v>
      </c>
      <c r="AB208">
        <v>0.01</v>
      </c>
      <c r="AC208">
        <v>8.9999999999999993E-3</v>
      </c>
    </row>
    <row r="209" spans="1:29" x14ac:dyDescent="0.3">
      <c r="A209" t="s">
        <v>128</v>
      </c>
      <c r="B209" t="s">
        <v>139</v>
      </c>
      <c r="C209" t="s">
        <v>9</v>
      </c>
      <c r="D209">
        <v>25</v>
      </c>
      <c r="E209">
        <v>76</v>
      </c>
      <c r="F209">
        <v>2</v>
      </c>
      <c r="G209">
        <v>25</v>
      </c>
      <c r="H209">
        <v>1</v>
      </c>
      <c r="I209" t="s">
        <v>21</v>
      </c>
      <c r="J209">
        <v>600</v>
      </c>
      <c r="K209">
        <v>8</v>
      </c>
      <c r="L209">
        <v>2</v>
      </c>
      <c r="M209">
        <v>0.1</v>
      </c>
      <c r="N209">
        <v>1045.6500000000001</v>
      </c>
      <c r="O209">
        <v>0.95917011249040085</v>
      </c>
      <c r="P209">
        <v>7.1699248701852634E-7</v>
      </c>
      <c r="Q209">
        <v>25</v>
      </c>
      <c r="R209">
        <v>6.12</v>
      </c>
      <c r="S209">
        <v>2.1800000000000002</v>
      </c>
      <c r="T209">
        <v>4.3499999999999996</v>
      </c>
      <c r="U209">
        <v>0</v>
      </c>
      <c r="V209">
        <v>2.19</v>
      </c>
      <c r="W209">
        <v>0</v>
      </c>
      <c r="X209">
        <v>0.1</v>
      </c>
      <c r="Y209">
        <v>0.1</v>
      </c>
      <c r="Z209">
        <v>0.1</v>
      </c>
      <c r="AA209">
        <v>0.01</v>
      </c>
      <c r="AB209">
        <v>0.01</v>
      </c>
      <c r="AC209">
        <v>8.9999999999999993E-3</v>
      </c>
    </row>
    <row r="210" spans="1:29" x14ac:dyDescent="0.3">
      <c r="A210" t="s">
        <v>129</v>
      </c>
      <c r="B210" t="s">
        <v>139</v>
      </c>
      <c r="C210" t="s">
        <v>9</v>
      </c>
      <c r="D210">
        <v>25</v>
      </c>
      <c r="E210">
        <v>76</v>
      </c>
      <c r="F210">
        <v>2</v>
      </c>
      <c r="G210">
        <v>25</v>
      </c>
      <c r="H210">
        <v>1</v>
      </c>
      <c r="I210" t="s">
        <v>21</v>
      </c>
      <c r="J210">
        <v>800</v>
      </c>
      <c r="K210">
        <v>2</v>
      </c>
      <c r="L210">
        <v>2</v>
      </c>
      <c r="M210">
        <v>0.1</v>
      </c>
      <c r="N210">
        <v>703</v>
      </c>
      <c r="O210">
        <v>0.95917011249040085</v>
      </c>
      <c r="P210">
        <v>7.0765956542524853E-7</v>
      </c>
      <c r="Q210">
        <v>25</v>
      </c>
      <c r="R210">
        <v>6.2</v>
      </c>
      <c r="S210">
        <v>1.95</v>
      </c>
      <c r="T210">
        <v>3.8</v>
      </c>
      <c r="U210">
        <v>0</v>
      </c>
      <c r="V210">
        <v>2</v>
      </c>
      <c r="W210">
        <v>0</v>
      </c>
      <c r="X210">
        <v>0</v>
      </c>
      <c r="Y210">
        <v>0</v>
      </c>
      <c r="Z210">
        <v>0.03</v>
      </c>
      <c r="AA210">
        <v>2.1000000000000001E-2</v>
      </c>
      <c r="AB210">
        <v>4.0000000000000001E-3</v>
      </c>
      <c r="AC210">
        <v>8.0000000000000002E-3</v>
      </c>
    </row>
    <row r="211" spans="1:29" x14ac:dyDescent="0.3">
      <c r="A211" t="s">
        <v>130</v>
      </c>
      <c r="B211" t="s">
        <v>139</v>
      </c>
      <c r="C211" t="s">
        <v>9</v>
      </c>
      <c r="D211">
        <v>25</v>
      </c>
      <c r="E211">
        <v>76</v>
      </c>
      <c r="F211">
        <v>2</v>
      </c>
      <c r="G211">
        <v>25</v>
      </c>
      <c r="H211">
        <v>1</v>
      </c>
      <c r="I211" t="s">
        <v>21</v>
      </c>
      <c r="J211">
        <v>800</v>
      </c>
      <c r="K211">
        <v>2</v>
      </c>
      <c r="L211">
        <v>2</v>
      </c>
      <c r="M211">
        <v>0.1</v>
      </c>
      <c r="N211">
        <v>947.76</v>
      </c>
      <c r="O211">
        <v>0.95917011249040085</v>
      </c>
      <c r="P211">
        <v>7.1467057618442428E-7</v>
      </c>
      <c r="Q211">
        <v>25</v>
      </c>
      <c r="R211">
        <v>6.12</v>
      </c>
      <c r="S211">
        <v>2.1800000000000002</v>
      </c>
      <c r="T211">
        <v>4.3499999999999996</v>
      </c>
      <c r="U211">
        <v>0</v>
      </c>
      <c r="V211">
        <v>2.19</v>
      </c>
      <c r="W211">
        <v>0</v>
      </c>
      <c r="X211">
        <v>0.1</v>
      </c>
      <c r="Y211">
        <v>0.1</v>
      </c>
      <c r="Z211">
        <v>0.1</v>
      </c>
      <c r="AA211">
        <v>0.01</v>
      </c>
      <c r="AB211">
        <v>0.01</v>
      </c>
      <c r="AC211">
        <v>8.9999999999999993E-3</v>
      </c>
    </row>
    <row r="212" spans="1:29" x14ac:dyDescent="0.3">
      <c r="A212" t="s">
        <v>131</v>
      </c>
      <c r="B212" t="s">
        <v>139</v>
      </c>
      <c r="C212" t="s">
        <v>9</v>
      </c>
      <c r="D212">
        <v>25</v>
      </c>
      <c r="E212">
        <v>76</v>
      </c>
      <c r="F212">
        <v>2</v>
      </c>
      <c r="G212">
        <v>25</v>
      </c>
      <c r="H212">
        <v>1</v>
      </c>
      <c r="I212" t="s">
        <v>21</v>
      </c>
      <c r="J212">
        <v>800</v>
      </c>
      <c r="K212">
        <v>2</v>
      </c>
      <c r="L212">
        <v>2</v>
      </c>
      <c r="M212">
        <v>0.1</v>
      </c>
      <c r="N212">
        <v>846.12</v>
      </c>
      <c r="O212">
        <v>0.95917011249040085</v>
      </c>
      <c r="P212">
        <v>7.1200019138758044E-7</v>
      </c>
      <c r="Q212">
        <v>25</v>
      </c>
      <c r="R212">
        <v>6.12</v>
      </c>
      <c r="S212">
        <v>2.1800000000000002</v>
      </c>
      <c r="T212">
        <v>4.3499999999999996</v>
      </c>
      <c r="U212">
        <v>0</v>
      </c>
      <c r="V212">
        <v>2.19</v>
      </c>
      <c r="W212">
        <v>0</v>
      </c>
      <c r="X212">
        <v>0.1</v>
      </c>
      <c r="Y212">
        <v>0.1</v>
      </c>
      <c r="Z212">
        <v>0.1</v>
      </c>
      <c r="AA212">
        <v>0.01</v>
      </c>
      <c r="AB212">
        <v>0.01</v>
      </c>
      <c r="AC212">
        <v>8.9999999999999993E-3</v>
      </c>
    </row>
    <row r="213" spans="1:29" x14ac:dyDescent="0.3">
      <c r="A213" t="s">
        <v>132</v>
      </c>
      <c r="B213" t="s">
        <v>139</v>
      </c>
      <c r="C213" t="s">
        <v>9</v>
      </c>
      <c r="D213">
        <v>25</v>
      </c>
      <c r="E213">
        <v>76</v>
      </c>
      <c r="F213">
        <v>2</v>
      </c>
      <c r="G213">
        <v>25</v>
      </c>
      <c r="H213">
        <v>1</v>
      </c>
      <c r="I213" t="s">
        <v>21</v>
      </c>
      <c r="J213">
        <v>800</v>
      </c>
      <c r="K213">
        <v>2</v>
      </c>
      <c r="L213">
        <v>2</v>
      </c>
      <c r="M213">
        <v>0.1</v>
      </c>
      <c r="N213">
        <v>695.53</v>
      </c>
      <c r="O213">
        <v>0.95917011249040085</v>
      </c>
      <c r="P213">
        <v>7.0741013770736338E-7</v>
      </c>
      <c r="Q213">
        <v>25</v>
      </c>
      <c r="R213">
        <v>6.12</v>
      </c>
      <c r="S213">
        <v>2.1800000000000002</v>
      </c>
      <c r="T213">
        <v>4.3499999999999996</v>
      </c>
      <c r="U213">
        <v>0</v>
      </c>
      <c r="V213">
        <v>2.19</v>
      </c>
      <c r="W213">
        <v>0</v>
      </c>
      <c r="X213">
        <v>0.1</v>
      </c>
      <c r="Y213">
        <v>0.1</v>
      </c>
      <c r="Z213">
        <v>0.1</v>
      </c>
      <c r="AA213">
        <v>0.01</v>
      </c>
      <c r="AB213">
        <v>0.01</v>
      </c>
      <c r="AC213">
        <v>8.9999999999999993E-3</v>
      </c>
    </row>
    <row r="214" spans="1:29" x14ac:dyDescent="0.3">
      <c r="A214" t="s">
        <v>133</v>
      </c>
      <c r="B214" t="s">
        <v>139</v>
      </c>
      <c r="C214" t="s">
        <v>9</v>
      </c>
      <c r="D214">
        <v>25</v>
      </c>
      <c r="E214">
        <v>76</v>
      </c>
      <c r="F214">
        <v>2</v>
      </c>
      <c r="G214">
        <v>25</v>
      </c>
      <c r="H214">
        <v>1</v>
      </c>
      <c r="I214" t="s">
        <v>21</v>
      </c>
      <c r="J214">
        <v>800</v>
      </c>
      <c r="K214">
        <v>2</v>
      </c>
      <c r="L214">
        <v>2</v>
      </c>
      <c r="M214">
        <v>0.1</v>
      </c>
      <c r="N214">
        <v>597.65</v>
      </c>
      <c r="O214">
        <v>0.95917011249040085</v>
      </c>
      <c r="P214">
        <v>7.0387834489128274E-7</v>
      </c>
      <c r="Q214">
        <v>25</v>
      </c>
      <c r="R214">
        <v>6.12</v>
      </c>
      <c r="S214">
        <v>2.1800000000000002</v>
      </c>
      <c r="T214">
        <v>4.3499999999999996</v>
      </c>
      <c r="U214">
        <v>0</v>
      </c>
      <c r="V214">
        <v>2.19</v>
      </c>
      <c r="W214">
        <v>0</v>
      </c>
      <c r="X214">
        <v>0.1</v>
      </c>
      <c r="Y214">
        <v>0.1</v>
      </c>
      <c r="Z214">
        <v>0.1</v>
      </c>
      <c r="AA214">
        <v>0.01</v>
      </c>
      <c r="AB214">
        <v>0.01</v>
      </c>
      <c r="AC214">
        <v>8.9999999999999993E-3</v>
      </c>
    </row>
    <row r="215" spans="1:29" x14ac:dyDescent="0.3">
      <c r="A215" t="s">
        <v>134</v>
      </c>
      <c r="B215" t="s">
        <v>139</v>
      </c>
      <c r="C215" t="s">
        <v>9</v>
      </c>
      <c r="D215">
        <v>25</v>
      </c>
      <c r="E215">
        <v>76</v>
      </c>
      <c r="F215">
        <v>2</v>
      </c>
      <c r="G215">
        <v>25</v>
      </c>
      <c r="H215">
        <v>1</v>
      </c>
      <c r="I215" t="s">
        <v>21</v>
      </c>
      <c r="J215">
        <v>800</v>
      </c>
      <c r="K215">
        <v>2</v>
      </c>
      <c r="L215">
        <v>2</v>
      </c>
      <c r="M215">
        <v>0.1</v>
      </c>
      <c r="N215">
        <v>546.88199999999995</v>
      </c>
      <c r="O215">
        <v>0.95917011249040085</v>
      </c>
      <c r="P215">
        <v>7.0181936191952185E-7</v>
      </c>
      <c r="Q215">
        <v>25</v>
      </c>
      <c r="R215">
        <v>6.12</v>
      </c>
      <c r="S215">
        <v>2.1800000000000002</v>
      </c>
      <c r="T215">
        <v>4.3499999999999996</v>
      </c>
      <c r="U215">
        <v>0</v>
      </c>
      <c r="V215">
        <v>2.19</v>
      </c>
      <c r="W215">
        <v>0</v>
      </c>
      <c r="X215">
        <v>0.1</v>
      </c>
      <c r="Y215">
        <v>0.1</v>
      </c>
      <c r="Z215">
        <v>0.1</v>
      </c>
      <c r="AA215">
        <v>0.01</v>
      </c>
      <c r="AB215">
        <v>0.01</v>
      </c>
      <c r="AC215">
        <v>8.9999999999999993E-3</v>
      </c>
    </row>
    <row r="216" spans="1:29" x14ac:dyDescent="0.3">
      <c r="A216" t="s">
        <v>135</v>
      </c>
      <c r="B216" t="s">
        <v>139</v>
      </c>
      <c r="C216" t="s">
        <v>9</v>
      </c>
      <c r="D216">
        <v>25</v>
      </c>
      <c r="E216">
        <v>76</v>
      </c>
      <c r="F216">
        <v>2</v>
      </c>
      <c r="G216">
        <v>25</v>
      </c>
      <c r="H216">
        <v>1</v>
      </c>
      <c r="I216" t="s">
        <v>21</v>
      </c>
      <c r="J216">
        <v>1300</v>
      </c>
      <c r="K216">
        <v>4</v>
      </c>
      <c r="L216">
        <v>2</v>
      </c>
      <c r="M216">
        <v>0.1</v>
      </c>
      <c r="N216">
        <v>497.88</v>
      </c>
      <c r="O216">
        <v>0.95917011249040085</v>
      </c>
      <c r="P216">
        <v>6.996486011234658E-7</v>
      </c>
      <c r="Q216">
        <v>25</v>
      </c>
      <c r="R216">
        <v>6.12</v>
      </c>
      <c r="S216">
        <v>2.1800000000000002</v>
      </c>
      <c r="T216">
        <v>4.3499999999999996</v>
      </c>
      <c r="U216">
        <v>0</v>
      </c>
      <c r="V216">
        <v>2.19</v>
      </c>
      <c r="W216">
        <v>0</v>
      </c>
      <c r="X216">
        <v>0.1</v>
      </c>
      <c r="Y216">
        <v>0.1</v>
      </c>
      <c r="Z216">
        <v>0.1</v>
      </c>
      <c r="AA216">
        <v>0.01</v>
      </c>
      <c r="AB216">
        <v>0.01</v>
      </c>
      <c r="AC216">
        <v>8.9999999999999993E-3</v>
      </c>
    </row>
    <row r="217" spans="1:29" x14ac:dyDescent="0.3">
      <c r="A217" t="s">
        <v>136</v>
      </c>
      <c r="B217" t="s">
        <v>139</v>
      </c>
      <c r="C217" t="s">
        <v>9</v>
      </c>
      <c r="D217">
        <v>25</v>
      </c>
      <c r="E217">
        <v>76</v>
      </c>
      <c r="F217">
        <v>2</v>
      </c>
      <c r="G217">
        <v>25</v>
      </c>
      <c r="H217">
        <v>1</v>
      </c>
      <c r="I217" t="s">
        <v>21</v>
      </c>
      <c r="J217">
        <v>1300</v>
      </c>
      <c r="K217">
        <v>4</v>
      </c>
      <c r="L217">
        <v>2</v>
      </c>
      <c r="M217">
        <v>-1</v>
      </c>
      <c r="N217">
        <v>500</v>
      </c>
      <c r="O217">
        <v>0.96022466747650492</v>
      </c>
      <c r="P217">
        <v>6.9974671095948523E-7</v>
      </c>
      <c r="Q217">
        <v>25</v>
      </c>
      <c r="R217">
        <v>5.8</v>
      </c>
      <c r="S217">
        <v>4</v>
      </c>
      <c r="T217">
        <v>3.72</v>
      </c>
      <c r="U217">
        <v>0.69</v>
      </c>
      <c r="V217">
        <v>0.54</v>
      </c>
      <c r="W217">
        <v>0</v>
      </c>
      <c r="X217">
        <v>0.34</v>
      </c>
      <c r="Y217">
        <v>8.9999999999999993E-3</v>
      </c>
      <c r="Z217">
        <v>0.105</v>
      </c>
      <c r="AA217">
        <v>0.05</v>
      </c>
      <c r="AB217">
        <v>2.5000000000000001E-3</v>
      </c>
      <c r="AC217">
        <v>4.0000000000000001E-3</v>
      </c>
    </row>
    <row r="218" spans="1:29" x14ac:dyDescent="0.3">
      <c r="A218" t="s">
        <v>137</v>
      </c>
      <c r="B218" t="s">
        <v>139</v>
      </c>
      <c r="C218" t="s">
        <v>9</v>
      </c>
      <c r="D218">
        <v>25</v>
      </c>
      <c r="E218">
        <v>76</v>
      </c>
      <c r="F218">
        <v>2</v>
      </c>
      <c r="G218">
        <v>25</v>
      </c>
      <c r="H218">
        <v>1</v>
      </c>
      <c r="I218" t="s">
        <v>21</v>
      </c>
      <c r="J218">
        <v>1300</v>
      </c>
      <c r="K218">
        <v>4</v>
      </c>
      <c r="L218">
        <v>2</v>
      </c>
      <c r="M218">
        <v>0.1</v>
      </c>
      <c r="N218">
        <v>400</v>
      </c>
      <c r="O218">
        <v>0.96022466747650492</v>
      </c>
      <c r="P218">
        <v>6.9461288534764957E-7</v>
      </c>
      <c r="Q218">
        <v>25</v>
      </c>
      <c r="R218">
        <v>5.8</v>
      </c>
      <c r="S218">
        <v>4</v>
      </c>
      <c r="T218">
        <v>3.72</v>
      </c>
      <c r="U218">
        <v>0.69</v>
      </c>
      <c r="V218">
        <v>0.54</v>
      </c>
      <c r="W218">
        <v>0</v>
      </c>
      <c r="X218">
        <v>0.34</v>
      </c>
      <c r="Y218">
        <v>8.9999999999999993E-3</v>
      </c>
      <c r="Z218">
        <v>0.105</v>
      </c>
      <c r="AA218">
        <v>0.05</v>
      </c>
      <c r="AB218">
        <v>2.5000000000000001E-3</v>
      </c>
      <c r="AC218">
        <v>4.0000000000000001E-3</v>
      </c>
    </row>
    <row r="219" spans="1:29" x14ac:dyDescent="0.3">
      <c r="A219" t="s">
        <v>138</v>
      </c>
      <c r="B219" t="s">
        <v>139</v>
      </c>
      <c r="C219" t="s">
        <v>9</v>
      </c>
      <c r="D219">
        <v>25</v>
      </c>
      <c r="E219">
        <v>76</v>
      </c>
      <c r="F219">
        <v>2</v>
      </c>
      <c r="G219">
        <v>25</v>
      </c>
      <c r="H219">
        <v>1</v>
      </c>
      <c r="I219" t="s">
        <v>21</v>
      </c>
      <c r="J219">
        <v>1300</v>
      </c>
      <c r="K219">
        <v>4</v>
      </c>
      <c r="L219">
        <v>2</v>
      </c>
      <c r="M219">
        <v>-1</v>
      </c>
      <c r="N219">
        <v>253.59</v>
      </c>
      <c r="O219">
        <v>0.54440322001040764</v>
      </c>
      <c r="P219">
        <v>6.8424434330461663E-7</v>
      </c>
      <c r="Q219">
        <v>25</v>
      </c>
      <c r="R219">
        <v>8.67</v>
      </c>
      <c r="S219">
        <v>0</v>
      </c>
      <c r="T219">
        <v>0</v>
      </c>
      <c r="U219">
        <v>18.7</v>
      </c>
      <c r="V219">
        <v>0</v>
      </c>
      <c r="W219">
        <v>0</v>
      </c>
      <c r="X219">
        <v>0</v>
      </c>
      <c r="Y219">
        <v>0</v>
      </c>
      <c r="Z219">
        <v>2E-3</v>
      </c>
      <c r="AA219">
        <v>1.6E-2</v>
      </c>
      <c r="AB219">
        <v>0.53</v>
      </c>
      <c r="AC219">
        <v>2.3E-2</v>
      </c>
    </row>
    <row r="220" spans="1:29" x14ac:dyDescent="0.3">
      <c r="A220" t="s">
        <v>173</v>
      </c>
      <c r="B220" t="s">
        <v>139</v>
      </c>
      <c r="C220" t="s">
        <v>9</v>
      </c>
      <c r="D220">
        <v>25</v>
      </c>
      <c r="E220">
        <v>76</v>
      </c>
      <c r="F220">
        <v>2</v>
      </c>
      <c r="G220">
        <v>690</v>
      </c>
      <c r="H220">
        <v>4</v>
      </c>
      <c r="I220" t="s">
        <v>21</v>
      </c>
      <c r="J220">
        <v>1050</v>
      </c>
      <c r="K220">
        <v>0.5</v>
      </c>
      <c r="L220">
        <v>2</v>
      </c>
      <c r="M220">
        <v>-1</v>
      </c>
      <c r="N220">
        <v>319</v>
      </c>
      <c r="O220">
        <v>0.01</v>
      </c>
      <c r="P220">
        <v>2.0899999999999998E-3</v>
      </c>
      <c r="Q220">
        <v>700</v>
      </c>
      <c r="R220">
        <v>6.75</v>
      </c>
      <c r="S220">
        <v>0</v>
      </c>
      <c r="T220">
        <v>0</v>
      </c>
      <c r="U220">
        <v>0</v>
      </c>
      <c r="V220">
        <v>0</v>
      </c>
      <c r="W220">
        <v>4.5</v>
      </c>
      <c r="X220">
        <v>0</v>
      </c>
      <c r="Y220">
        <v>0.4</v>
      </c>
      <c r="Z220">
        <v>0.2</v>
      </c>
      <c r="AA220">
        <v>0.1</v>
      </c>
      <c r="AB220">
        <v>0.05</v>
      </c>
      <c r="AC220">
        <v>0.125</v>
      </c>
    </row>
    <row r="221" spans="1:29" x14ac:dyDescent="0.3">
      <c r="A221" t="s">
        <v>174</v>
      </c>
      <c r="B221" t="s">
        <v>139</v>
      </c>
      <c r="C221" t="s">
        <v>9</v>
      </c>
      <c r="D221">
        <v>25</v>
      </c>
      <c r="E221">
        <v>76</v>
      </c>
      <c r="F221">
        <v>2</v>
      </c>
      <c r="G221">
        <v>0</v>
      </c>
      <c r="H221">
        <v>0</v>
      </c>
      <c r="I221" t="s">
        <v>21</v>
      </c>
      <c r="J221">
        <v>0</v>
      </c>
      <c r="K221">
        <v>0</v>
      </c>
      <c r="L221">
        <v>2</v>
      </c>
      <c r="M221">
        <v>-1</v>
      </c>
      <c r="N221">
        <v>319</v>
      </c>
      <c r="O221">
        <v>1.167E-2</v>
      </c>
      <c r="P221">
        <v>3.2399999999999999E-6</v>
      </c>
      <c r="Q221">
        <v>600</v>
      </c>
      <c r="R221">
        <v>6.61</v>
      </c>
      <c r="S221">
        <v>0</v>
      </c>
      <c r="T221">
        <v>0</v>
      </c>
      <c r="U221">
        <v>0</v>
      </c>
      <c r="V221">
        <v>0</v>
      </c>
      <c r="W221">
        <v>4.2300000000000004</v>
      </c>
      <c r="X221">
        <v>0</v>
      </c>
      <c r="Y221">
        <v>1.18</v>
      </c>
      <c r="Z221">
        <v>0.13</v>
      </c>
      <c r="AA221">
        <v>2.5999999999999999E-2</v>
      </c>
      <c r="AB221">
        <v>1.0999999999999999E-2</v>
      </c>
      <c r="AC221">
        <v>3.0000000000000001E-3</v>
      </c>
    </row>
    <row r="222" spans="1:29" x14ac:dyDescent="0.3">
      <c r="A222" t="s">
        <v>175</v>
      </c>
      <c r="B222" t="s">
        <v>139</v>
      </c>
      <c r="C222" t="s">
        <v>9</v>
      </c>
      <c r="D222">
        <v>25</v>
      </c>
      <c r="E222">
        <v>76</v>
      </c>
      <c r="F222">
        <v>2</v>
      </c>
      <c r="G222">
        <v>0</v>
      </c>
      <c r="H222">
        <v>0</v>
      </c>
      <c r="I222" t="s">
        <v>21</v>
      </c>
      <c r="J222">
        <v>0</v>
      </c>
      <c r="K222">
        <v>0</v>
      </c>
      <c r="L222">
        <v>2</v>
      </c>
      <c r="M222">
        <v>-1</v>
      </c>
      <c r="N222">
        <v>250</v>
      </c>
      <c r="O222">
        <v>3.0499999999999999E-2</v>
      </c>
      <c r="P222">
        <v>4.3999999999999999E-5</v>
      </c>
      <c r="Q222">
        <v>600</v>
      </c>
      <c r="R222">
        <v>6.61</v>
      </c>
      <c r="S222">
        <v>0</v>
      </c>
      <c r="T222">
        <v>0</v>
      </c>
      <c r="U222">
        <v>0</v>
      </c>
      <c r="V222">
        <v>0</v>
      </c>
      <c r="W222">
        <v>4.2300000000000004</v>
      </c>
      <c r="X222">
        <v>0</v>
      </c>
      <c r="Y222">
        <v>1.18</v>
      </c>
      <c r="Z222">
        <v>0.13</v>
      </c>
      <c r="AA222">
        <v>2.5999999999999999E-2</v>
      </c>
      <c r="AB222">
        <v>1.0999999999999999E-2</v>
      </c>
      <c r="AC222">
        <v>3.0000000000000001E-3</v>
      </c>
    </row>
    <row r="223" spans="1:29" x14ac:dyDescent="0.3">
      <c r="A223" t="s">
        <v>176</v>
      </c>
      <c r="B223" t="s">
        <v>139</v>
      </c>
      <c r="C223" t="s">
        <v>9</v>
      </c>
      <c r="D223">
        <v>25</v>
      </c>
      <c r="E223">
        <v>76</v>
      </c>
      <c r="F223">
        <v>2</v>
      </c>
      <c r="G223">
        <v>0</v>
      </c>
      <c r="H223">
        <v>0</v>
      </c>
      <c r="I223" t="s">
        <v>21</v>
      </c>
      <c r="J223">
        <v>0</v>
      </c>
      <c r="K223">
        <v>0</v>
      </c>
      <c r="L223">
        <v>2</v>
      </c>
      <c r="M223">
        <v>-1</v>
      </c>
      <c r="N223">
        <v>520</v>
      </c>
      <c r="O223">
        <v>4.6199999999999998E-2</v>
      </c>
      <c r="P223">
        <v>4.4299999999999999E-5</v>
      </c>
      <c r="Q223">
        <v>500</v>
      </c>
      <c r="R223">
        <v>6.61</v>
      </c>
      <c r="S223">
        <v>0</v>
      </c>
      <c r="T223">
        <v>0</v>
      </c>
      <c r="U223">
        <v>0</v>
      </c>
      <c r="V223">
        <v>0</v>
      </c>
      <c r="W223">
        <v>4.2300000000000004</v>
      </c>
      <c r="X223">
        <v>0</v>
      </c>
      <c r="Y223">
        <v>1.18</v>
      </c>
      <c r="Z223">
        <v>0.13</v>
      </c>
      <c r="AA223">
        <v>2.5999999999999999E-2</v>
      </c>
      <c r="AB223">
        <v>1.0999999999999999E-2</v>
      </c>
      <c r="AC223">
        <v>3.0000000000000001E-3</v>
      </c>
    </row>
    <row r="224" spans="1:29" x14ac:dyDescent="0.3">
      <c r="A224" t="s">
        <v>177</v>
      </c>
      <c r="B224" t="s">
        <v>139</v>
      </c>
      <c r="C224" t="s">
        <v>9</v>
      </c>
      <c r="D224">
        <v>25</v>
      </c>
      <c r="E224">
        <v>76</v>
      </c>
      <c r="F224">
        <v>2</v>
      </c>
      <c r="G224">
        <v>0</v>
      </c>
      <c r="H224">
        <v>0</v>
      </c>
      <c r="I224" t="s">
        <v>21</v>
      </c>
      <c r="J224">
        <v>0</v>
      </c>
      <c r="K224">
        <v>0</v>
      </c>
      <c r="L224">
        <v>2</v>
      </c>
      <c r="M224">
        <v>-1</v>
      </c>
      <c r="N224">
        <v>319</v>
      </c>
      <c r="O224">
        <v>0.05</v>
      </c>
      <c r="P224">
        <v>2.1299999999999999E-3</v>
      </c>
      <c r="Q224">
        <v>700</v>
      </c>
      <c r="R224">
        <v>6.61</v>
      </c>
      <c r="S224">
        <v>0</v>
      </c>
      <c r="T224">
        <v>0</v>
      </c>
      <c r="U224">
        <v>0</v>
      </c>
      <c r="V224">
        <v>0</v>
      </c>
      <c r="W224">
        <v>4.2300000000000004</v>
      </c>
      <c r="X224">
        <v>0</v>
      </c>
      <c r="Y224">
        <v>1.18</v>
      </c>
      <c r="Z224">
        <v>0.13</v>
      </c>
      <c r="AA224">
        <v>2.5999999999999999E-2</v>
      </c>
      <c r="AB224">
        <v>1.0999999999999999E-2</v>
      </c>
      <c r="AC224">
        <v>3.0000000000000001E-3</v>
      </c>
    </row>
    <row r="225" spans="1:29" x14ac:dyDescent="0.3">
      <c r="A225" t="s">
        <v>178</v>
      </c>
      <c r="B225" t="s">
        <v>139</v>
      </c>
      <c r="C225" t="s">
        <v>9</v>
      </c>
      <c r="D225">
        <v>25</v>
      </c>
      <c r="E225">
        <v>76</v>
      </c>
      <c r="F225">
        <v>2</v>
      </c>
      <c r="G225">
        <v>0</v>
      </c>
      <c r="H225">
        <v>0</v>
      </c>
      <c r="I225" t="s">
        <v>21</v>
      </c>
      <c r="J225">
        <v>0</v>
      </c>
      <c r="K225">
        <v>0</v>
      </c>
      <c r="L225">
        <v>2</v>
      </c>
      <c r="M225">
        <v>-1</v>
      </c>
      <c r="N225">
        <v>319</v>
      </c>
      <c r="O225">
        <v>0.09</v>
      </c>
      <c r="P225">
        <v>3.5199999999999999E-4</v>
      </c>
      <c r="Q225">
        <v>600</v>
      </c>
      <c r="R225">
        <v>6</v>
      </c>
      <c r="S225">
        <v>0</v>
      </c>
      <c r="T225">
        <v>0</v>
      </c>
      <c r="U225">
        <v>0</v>
      </c>
      <c r="V225">
        <v>0</v>
      </c>
      <c r="W225">
        <v>4</v>
      </c>
      <c r="X225">
        <v>0</v>
      </c>
      <c r="Y225">
        <v>0.4</v>
      </c>
      <c r="Z225">
        <v>0.2</v>
      </c>
      <c r="AA225">
        <v>0.08</v>
      </c>
      <c r="AB225">
        <v>0.05</v>
      </c>
      <c r="AC225">
        <v>1.4999999999999999E-2</v>
      </c>
    </row>
    <row r="226" spans="1:29" x14ac:dyDescent="0.3">
      <c r="A226" t="s">
        <v>179</v>
      </c>
      <c r="B226" t="s">
        <v>139</v>
      </c>
      <c r="C226" t="s">
        <v>9</v>
      </c>
      <c r="D226">
        <v>25</v>
      </c>
      <c r="E226">
        <v>76</v>
      </c>
      <c r="F226">
        <v>2</v>
      </c>
      <c r="G226">
        <v>0</v>
      </c>
      <c r="H226">
        <v>0</v>
      </c>
      <c r="I226" t="s">
        <v>21</v>
      </c>
      <c r="J226">
        <v>0</v>
      </c>
      <c r="K226">
        <v>0</v>
      </c>
      <c r="L226">
        <v>2</v>
      </c>
      <c r="M226">
        <v>-1</v>
      </c>
      <c r="N226">
        <v>222</v>
      </c>
      <c r="O226">
        <v>9.5799999999999996E-2</v>
      </c>
      <c r="P226">
        <v>2.55E-5</v>
      </c>
      <c r="Q226">
        <v>600</v>
      </c>
      <c r="R226">
        <v>6.61</v>
      </c>
      <c r="S226">
        <v>0</v>
      </c>
      <c r="T226">
        <v>0</v>
      </c>
      <c r="U226">
        <v>0</v>
      </c>
      <c r="V226">
        <v>0</v>
      </c>
      <c r="W226">
        <v>4.2300000000000004</v>
      </c>
      <c r="X226">
        <v>0</v>
      </c>
      <c r="Y226">
        <v>1.18</v>
      </c>
      <c r="Z226">
        <v>0.13</v>
      </c>
      <c r="AA226">
        <v>2.5999999999999999E-2</v>
      </c>
      <c r="AB226">
        <v>1.0999999999999999E-2</v>
      </c>
      <c r="AC226">
        <v>3.0000000000000001E-3</v>
      </c>
    </row>
    <row r="227" spans="1:29" x14ac:dyDescent="0.3">
      <c r="A227" t="s">
        <v>180</v>
      </c>
      <c r="B227" t="s">
        <v>139</v>
      </c>
      <c r="C227" t="s">
        <v>9</v>
      </c>
      <c r="D227">
        <v>25</v>
      </c>
      <c r="E227">
        <v>76</v>
      </c>
      <c r="F227">
        <v>2</v>
      </c>
      <c r="G227">
        <v>0</v>
      </c>
      <c r="H227">
        <v>0</v>
      </c>
      <c r="I227" t="s">
        <v>21</v>
      </c>
      <c r="J227">
        <v>0</v>
      </c>
      <c r="K227">
        <v>0</v>
      </c>
      <c r="L227">
        <v>2</v>
      </c>
      <c r="M227">
        <v>-1</v>
      </c>
      <c r="N227">
        <v>125</v>
      </c>
      <c r="O227">
        <v>0.11</v>
      </c>
      <c r="P227">
        <v>4.1899999999999999E-4</v>
      </c>
      <c r="Q227">
        <v>700</v>
      </c>
      <c r="R227">
        <v>6</v>
      </c>
      <c r="S227">
        <v>0</v>
      </c>
      <c r="T227">
        <v>0</v>
      </c>
      <c r="U227">
        <v>0</v>
      </c>
      <c r="V227">
        <v>0</v>
      </c>
      <c r="W227">
        <v>4</v>
      </c>
      <c r="X227">
        <v>0</v>
      </c>
      <c r="Y227">
        <v>0.4</v>
      </c>
      <c r="Z227">
        <v>0.2</v>
      </c>
      <c r="AA227">
        <v>0.08</v>
      </c>
      <c r="AB227">
        <v>0.05</v>
      </c>
      <c r="AC227">
        <v>1.4999999999999999E-2</v>
      </c>
    </row>
    <row r="228" spans="1:29" x14ac:dyDescent="0.3">
      <c r="A228" t="s">
        <v>181</v>
      </c>
      <c r="B228" t="s">
        <v>139</v>
      </c>
      <c r="C228" t="s">
        <v>9</v>
      </c>
      <c r="D228">
        <v>25</v>
      </c>
      <c r="E228">
        <v>76</v>
      </c>
      <c r="F228">
        <v>2</v>
      </c>
      <c r="G228">
        <v>0</v>
      </c>
      <c r="H228">
        <v>0</v>
      </c>
      <c r="I228" t="s">
        <v>21</v>
      </c>
      <c r="J228">
        <v>0</v>
      </c>
      <c r="K228">
        <v>0</v>
      </c>
      <c r="L228">
        <v>2</v>
      </c>
      <c r="M228">
        <v>-1</v>
      </c>
      <c r="N228">
        <v>56</v>
      </c>
      <c r="O228">
        <v>0.14099999999999999</v>
      </c>
      <c r="P228">
        <v>4.3300000000000002E-5</v>
      </c>
      <c r="Q228">
        <v>700</v>
      </c>
      <c r="R228">
        <v>6.61</v>
      </c>
      <c r="S228">
        <v>0</v>
      </c>
      <c r="T228">
        <v>0</v>
      </c>
      <c r="U228">
        <v>0</v>
      </c>
      <c r="V228">
        <v>0</v>
      </c>
      <c r="W228">
        <v>4.2300000000000004</v>
      </c>
      <c r="X228">
        <v>0</v>
      </c>
      <c r="Y228">
        <v>1.18</v>
      </c>
      <c r="Z228">
        <v>0.13</v>
      </c>
      <c r="AA228">
        <v>2.5999999999999999E-2</v>
      </c>
      <c r="AB228">
        <v>1.0999999999999999E-2</v>
      </c>
      <c r="AC228">
        <v>3.0000000000000001E-3</v>
      </c>
    </row>
    <row r="229" spans="1:29" x14ac:dyDescent="0.3">
      <c r="A229" t="s">
        <v>182</v>
      </c>
      <c r="B229" t="s">
        <v>139</v>
      </c>
      <c r="C229" t="s">
        <v>9</v>
      </c>
      <c r="D229">
        <v>25</v>
      </c>
      <c r="E229">
        <v>76</v>
      </c>
      <c r="F229">
        <v>2</v>
      </c>
      <c r="G229">
        <v>0</v>
      </c>
      <c r="H229">
        <v>0</v>
      </c>
      <c r="I229" t="s">
        <v>21</v>
      </c>
      <c r="J229">
        <v>750</v>
      </c>
      <c r="K229">
        <v>1</v>
      </c>
      <c r="L229">
        <v>2</v>
      </c>
      <c r="M229">
        <v>-1</v>
      </c>
      <c r="N229">
        <v>150</v>
      </c>
      <c r="O229">
        <v>0.14499999999999999</v>
      </c>
      <c r="P229">
        <v>5.0900000000000001E-4</v>
      </c>
      <c r="Q229">
        <v>650</v>
      </c>
      <c r="R229">
        <v>5.98</v>
      </c>
      <c r="S229">
        <v>0</v>
      </c>
      <c r="T229">
        <v>0</v>
      </c>
      <c r="U229">
        <v>0</v>
      </c>
      <c r="V229">
        <v>0</v>
      </c>
      <c r="W229">
        <v>4.25</v>
      </c>
      <c r="X229">
        <v>0.23</v>
      </c>
      <c r="Y229">
        <v>0.23</v>
      </c>
      <c r="Z229">
        <v>0</v>
      </c>
      <c r="AA229">
        <v>0</v>
      </c>
      <c r="AB229">
        <v>0</v>
      </c>
      <c r="AC229">
        <v>0.4</v>
      </c>
    </row>
    <row r="230" spans="1:29" x14ac:dyDescent="0.3">
      <c r="A230" t="s">
        <v>183</v>
      </c>
      <c r="B230" t="s">
        <v>139</v>
      </c>
      <c r="C230" t="s">
        <v>9</v>
      </c>
      <c r="D230">
        <v>25</v>
      </c>
      <c r="E230">
        <v>76</v>
      </c>
      <c r="F230">
        <v>2</v>
      </c>
      <c r="G230">
        <v>0</v>
      </c>
      <c r="H230">
        <v>0</v>
      </c>
      <c r="I230" t="s">
        <v>21</v>
      </c>
      <c r="J230">
        <v>190</v>
      </c>
      <c r="K230">
        <v>6</v>
      </c>
      <c r="L230">
        <v>2</v>
      </c>
      <c r="M230">
        <v>-1</v>
      </c>
      <c r="N230">
        <v>319</v>
      </c>
      <c r="O230">
        <v>0.17</v>
      </c>
      <c r="P230">
        <v>1.5699999999999999E-4</v>
      </c>
      <c r="Q230">
        <v>600</v>
      </c>
      <c r="R230">
        <v>6.33</v>
      </c>
      <c r="S230">
        <v>0</v>
      </c>
      <c r="T230">
        <v>0</v>
      </c>
      <c r="U230">
        <v>0</v>
      </c>
      <c r="V230">
        <v>0</v>
      </c>
      <c r="W230">
        <v>4</v>
      </c>
      <c r="X230">
        <v>0</v>
      </c>
      <c r="Y230">
        <v>0.2</v>
      </c>
      <c r="Z230">
        <v>0.17</v>
      </c>
      <c r="AA230">
        <v>0.03</v>
      </c>
      <c r="AB230">
        <v>0.01</v>
      </c>
      <c r="AC230">
        <v>4.0000000000000001E-3</v>
      </c>
    </row>
    <row r="231" spans="1:29" x14ac:dyDescent="0.3">
      <c r="A231" t="s">
        <v>184</v>
      </c>
      <c r="B231" t="s">
        <v>139</v>
      </c>
      <c r="C231" t="s">
        <v>9</v>
      </c>
      <c r="D231">
        <v>25</v>
      </c>
      <c r="E231">
        <v>76</v>
      </c>
      <c r="F231">
        <v>2</v>
      </c>
      <c r="G231">
        <v>0</v>
      </c>
      <c r="H231">
        <v>0</v>
      </c>
      <c r="I231" t="s">
        <v>21</v>
      </c>
      <c r="J231">
        <v>950</v>
      </c>
      <c r="K231">
        <v>1</v>
      </c>
      <c r="L231">
        <v>2</v>
      </c>
      <c r="M231">
        <v>-1</v>
      </c>
      <c r="N231">
        <v>319</v>
      </c>
      <c r="O231">
        <v>0.17</v>
      </c>
      <c r="P231">
        <v>1.3899999999999999E-4</v>
      </c>
      <c r="Q231">
        <v>600</v>
      </c>
      <c r="R231">
        <v>6.61</v>
      </c>
      <c r="S231">
        <v>0</v>
      </c>
      <c r="T231">
        <v>0</v>
      </c>
      <c r="U231">
        <v>0</v>
      </c>
      <c r="V231">
        <v>0</v>
      </c>
      <c r="W231">
        <v>4.2300000000000004</v>
      </c>
      <c r="X231">
        <v>0</v>
      </c>
      <c r="Y231">
        <v>1.18</v>
      </c>
      <c r="Z231">
        <v>0.13</v>
      </c>
      <c r="AA231">
        <v>2.5999999999999999E-2</v>
      </c>
      <c r="AB231">
        <v>1.0999999999999999E-2</v>
      </c>
      <c r="AC231">
        <v>3.0000000000000001E-3</v>
      </c>
    </row>
    <row r="232" spans="1:29" x14ac:dyDescent="0.3">
      <c r="A232" t="s">
        <v>185</v>
      </c>
      <c r="B232" t="s">
        <v>139</v>
      </c>
      <c r="C232" t="s">
        <v>9</v>
      </c>
      <c r="D232">
        <v>25</v>
      </c>
      <c r="E232">
        <v>76</v>
      </c>
      <c r="F232">
        <v>2</v>
      </c>
      <c r="G232">
        <v>0</v>
      </c>
      <c r="H232">
        <v>0</v>
      </c>
      <c r="I232" t="s">
        <v>21</v>
      </c>
      <c r="J232">
        <v>0</v>
      </c>
      <c r="K232">
        <v>0</v>
      </c>
      <c r="L232">
        <v>2</v>
      </c>
      <c r="M232">
        <v>-1</v>
      </c>
      <c r="N232">
        <v>319</v>
      </c>
      <c r="O232">
        <v>0.17</v>
      </c>
      <c r="P232">
        <v>1.3899999999999999E-4</v>
      </c>
      <c r="Q232">
        <v>600</v>
      </c>
      <c r="R232">
        <v>6.61</v>
      </c>
      <c r="S232">
        <v>0</v>
      </c>
      <c r="T232">
        <v>0</v>
      </c>
      <c r="U232">
        <v>0</v>
      </c>
      <c r="V232">
        <v>0</v>
      </c>
      <c r="W232">
        <v>4.2300000000000004</v>
      </c>
      <c r="X232">
        <v>0</v>
      </c>
      <c r="Y232">
        <v>1.18</v>
      </c>
      <c r="Z232">
        <v>0.13</v>
      </c>
      <c r="AA232">
        <v>2.5999999999999999E-2</v>
      </c>
      <c r="AB232">
        <v>1.0999999999999999E-2</v>
      </c>
      <c r="AC232">
        <v>3.0000000000000001E-3</v>
      </c>
    </row>
    <row r="233" spans="1:29" x14ac:dyDescent="0.3">
      <c r="A233" t="s">
        <v>186</v>
      </c>
      <c r="B233" t="s">
        <v>139</v>
      </c>
      <c r="C233" t="s">
        <v>9</v>
      </c>
      <c r="D233">
        <v>25</v>
      </c>
      <c r="E233">
        <v>76</v>
      </c>
      <c r="F233">
        <v>2</v>
      </c>
      <c r="G233">
        <v>0</v>
      </c>
      <c r="H233">
        <v>0</v>
      </c>
      <c r="I233" t="s">
        <v>21</v>
      </c>
      <c r="J233">
        <v>0</v>
      </c>
      <c r="K233">
        <v>0</v>
      </c>
      <c r="L233">
        <v>2</v>
      </c>
      <c r="M233">
        <v>-1</v>
      </c>
      <c r="N233">
        <v>300</v>
      </c>
      <c r="O233">
        <v>0.19</v>
      </c>
      <c r="P233">
        <v>4.8699999999999998E-5</v>
      </c>
      <c r="Q233">
        <v>600</v>
      </c>
      <c r="R233">
        <v>5.98</v>
      </c>
      <c r="S233">
        <v>0</v>
      </c>
      <c r="T233">
        <v>0</v>
      </c>
      <c r="U233">
        <v>0</v>
      </c>
      <c r="V233">
        <v>0</v>
      </c>
      <c r="W233">
        <v>4.07</v>
      </c>
      <c r="X233">
        <v>0</v>
      </c>
      <c r="Y233">
        <v>0.2</v>
      </c>
      <c r="Z233">
        <v>0.1</v>
      </c>
      <c r="AA233">
        <v>5.0000000000000001E-3</v>
      </c>
      <c r="AB233">
        <v>5.0000000000000001E-3</v>
      </c>
      <c r="AC233">
        <v>1E-3</v>
      </c>
    </row>
    <row r="234" spans="1:29" x14ac:dyDescent="0.3">
      <c r="A234" t="s">
        <v>187</v>
      </c>
      <c r="B234" t="s">
        <v>139</v>
      </c>
      <c r="C234" t="s">
        <v>9</v>
      </c>
      <c r="D234">
        <v>25</v>
      </c>
      <c r="E234">
        <v>76</v>
      </c>
      <c r="F234">
        <v>2</v>
      </c>
      <c r="G234">
        <v>950</v>
      </c>
      <c r="H234">
        <v>1</v>
      </c>
      <c r="I234" t="s">
        <v>21</v>
      </c>
      <c r="J234">
        <v>600</v>
      </c>
      <c r="K234">
        <v>24</v>
      </c>
      <c r="L234">
        <v>2</v>
      </c>
      <c r="M234">
        <v>-1</v>
      </c>
      <c r="N234">
        <v>319</v>
      </c>
      <c r="O234">
        <v>0.25</v>
      </c>
      <c r="P234">
        <v>6.0999999999999999E-5</v>
      </c>
      <c r="Q234">
        <v>600</v>
      </c>
      <c r="R234">
        <v>6.33</v>
      </c>
      <c r="S234">
        <v>0</v>
      </c>
      <c r="T234">
        <v>0</v>
      </c>
      <c r="U234">
        <v>0</v>
      </c>
      <c r="V234">
        <v>0</v>
      </c>
      <c r="W234">
        <v>4</v>
      </c>
      <c r="X234">
        <v>0</v>
      </c>
      <c r="Y234">
        <v>0.2</v>
      </c>
      <c r="Z234">
        <v>0.17</v>
      </c>
      <c r="AA234">
        <v>0.03</v>
      </c>
      <c r="AB234">
        <v>0.01</v>
      </c>
      <c r="AC234">
        <v>4.0000000000000001E-3</v>
      </c>
    </row>
    <row r="235" spans="1:29" x14ac:dyDescent="0.3">
      <c r="A235" t="s">
        <v>188</v>
      </c>
      <c r="B235" t="s">
        <v>139</v>
      </c>
      <c r="C235" t="s">
        <v>9</v>
      </c>
      <c r="D235">
        <v>25</v>
      </c>
      <c r="E235">
        <v>76</v>
      </c>
      <c r="F235">
        <v>2</v>
      </c>
      <c r="G235">
        <v>0</v>
      </c>
      <c r="H235">
        <v>0</v>
      </c>
      <c r="I235" t="s">
        <v>21</v>
      </c>
      <c r="J235">
        <v>0</v>
      </c>
      <c r="K235">
        <v>0</v>
      </c>
      <c r="L235">
        <v>2</v>
      </c>
      <c r="M235">
        <v>-1</v>
      </c>
      <c r="N235">
        <v>465</v>
      </c>
      <c r="O235">
        <v>0.3</v>
      </c>
      <c r="P235">
        <v>1.19E-5</v>
      </c>
      <c r="Q235">
        <v>500</v>
      </c>
      <c r="R235">
        <v>6.61</v>
      </c>
      <c r="S235">
        <v>0</v>
      </c>
      <c r="T235">
        <v>0</v>
      </c>
      <c r="U235">
        <v>0</v>
      </c>
      <c r="V235">
        <v>0</v>
      </c>
      <c r="W235">
        <v>4.2300000000000004</v>
      </c>
      <c r="X235">
        <v>0</v>
      </c>
      <c r="Y235">
        <v>1.18</v>
      </c>
      <c r="Z235">
        <v>0.13</v>
      </c>
      <c r="AA235">
        <v>2.5999999999999999E-2</v>
      </c>
      <c r="AB235">
        <v>1.0999999999999999E-2</v>
      </c>
      <c r="AC235">
        <v>3.0000000000000001E-3</v>
      </c>
    </row>
    <row r="236" spans="1:29" x14ac:dyDescent="0.3">
      <c r="A236" t="s">
        <v>189</v>
      </c>
      <c r="B236" t="s">
        <v>139</v>
      </c>
      <c r="C236" t="s">
        <v>9</v>
      </c>
      <c r="D236">
        <v>25</v>
      </c>
      <c r="E236">
        <v>76</v>
      </c>
      <c r="F236">
        <v>2</v>
      </c>
      <c r="G236">
        <v>0</v>
      </c>
      <c r="H236">
        <v>0</v>
      </c>
      <c r="I236" t="s">
        <v>21</v>
      </c>
      <c r="J236">
        <v>720</v>
      </c>
      <c r="K236">
        <v>2</v>
      </c>
      <c r="L236">
        <v>2</v>
      </c>
      <c r="M236">
        <v>-1</v>
      </c>
      <c r="N236">
        <v>310</v>
      </c>
      <c r="O236">
        <v>0.3</v>
      </c>
      <c r="P236">
        <v>5.4599999999999999E-5</v>
      </c>
      <c r="Q236">
        <v>650</v>
      </c>
      <c r="R236">
        <v>5.9</v>
      </c>
      <c r="S236">
        <v>0</v>
      </c>
      <c r="T236">
        <v>0</v>
      </c>
      <c r="U236">
        <v>0</v>
      </c>
      <c r="V236">
        <v>0</v>
      </c>
      <c r="W236">
        <v>3.9</v>
      </c>
      <c r="X236">
        <v>0</v>
      </c>
      <c r="Y236">
        <v>0.17</v>
      </c>
      <c r="Z236">
        <v>0.246</v>
      </c>
      <c r="AA236">
        <v>2.9000000000000001E-2</v>
      </c>
      <c r="AB236">
        <v>3.0999999999999999E-3</v>
      </c>
      <c r="AC236">
        <v>3.0999999999999999E-3</v>
      </c>
    </row>
    <row r="237" spans="1:29" x14ac:dyDescent="0.3">
      <c r="A237" t="s">
        <v>190</v>
      </c>
      <c r="B237" t="s">
        <v>139</v>
      </c>
      <c r="C237" t="s">
        <v>9</v>
      </c>
      <c r="D237">
        <v>25</v>
      </c>
      <c r="E237">
        <v>76</v>
      </c>
      <c r="F237">
        <v>2</v>
      </c>
      <c r="G237">
        <v>0</v>
      </c>
      <c r="H237">
        <v>0</v>
      </c>
      <c r="I237" t="s">
        <v>21</v>
      </c>
      <c r="J237">
        <v>0</v>
      </c>
      <c r="K237">
        <v>0</v>
      </c>
      <c r="L237">
        <v>2</v>
      </c>
      <c r="M237">
        <v>-1</v>
      </c>
      <c r="N237">
        <v>42</v>
      </c>
      <c r="O237">
        <v>0.32500000000000001</v>
      </c>
      <c r="P237">
        <v>1.785E-5</v>
      </c>
      <c r="Q237">
        <v>700</v>
      </c>
      <c r="R237">
        <v>6.61</v>
      </c>
      <c r="S237">
        <v>0</v>
      </c>
      <c r="T237">
        <v>0</v>
      </c>
      <c r="U237">
        <v>0</v>
      </c>
      <c r="V237">
        <v>0</v>
      </c>
      <c r="W237">
        <v>4.2300000000000004</v>
      </c>
      <c r="X237">
        <v>0</v>
      </c>
      <c r="Y237">
        <v>1.18</v>
      </c>
      <c r="Z237">
        <v>0.13</v>
      </c>
      <c r="AA237">
        <v>2.5999999999999999E-2</v>
      </c>
      <c r="AB237">
        <v>1.0999999999999999E-2</v>
      </c>
      <c r="AC237">
        <v>3.0000000000000001E-3</v>
      </c>
    </row>
    <row r="238" spans="1:29" x14ac:dyDescent="0.3">
      <c r="A238" t="s">
        <v>191</v>
      </c>
      <c r="B238" t="s">
        <v>139</v>
      </c>
      <c r="C238" t="s">
        <v>9</v>
      </c>
      <c r="D238">
        <v>25</v>
      </c>
      <c r="E238">
        <v>76</v>
      </c>
      <c r="F238">
        <v>2</v>
      </c>
      <c r="G238">
        <v>0</v>
      </c>
      <c r="H238">
        <v>0</v>
      </c>
      <c r="I238" t="s">
        <v>21</v>
      </c>
      <c r="J238">
        <v>0</v>
      </c>
      <c r="K238">
        <v>0</v>
      </c>
      <c r="L238">
        <v>2</v>
      </c>
      <c r="M238">
        <v>-1</v>
      </c>
      <c r="N238">
        <v>278</v>
      </c>
      <c r="O238">
        <v>0.34</v>
      </c>
      <c r="P238">
        <v>3.3699999999999999E-5</v>
      </c>
      <c r="Q238">
        <v>600</v>
      </c>
      <c r="R238">
        <v>5.98</v>
      </c>
      <c r="S238">
        <v>0</v>
      </c>
      <c r="T238">
        <v>0</v>
      </c>
      <c r="U238">
        <v>0</v>
      </c>
      <c r="V238">
        <v>0</v>
      </c>
      <c r="W238">
        <v>4.07</v>
      </c>
      <c r="X238">
        <v>0</v>
      </c>
      <c r="Y238">
        <v>0.2</v>
      </c>
      <c r="Z238">
        <v>0.1</v>
      </c>
      <c r="AA238">
        <v>5.0000000000000001E-3</v>
      </c>
      <c r="AB238">
        <v>5.0000000000000001E-3</v>
      </c>
      <c r="AC238">
        <v>1E-3</v>
      </c>
    </row>
    <row r="239" spans="1:29" x14ac:dyDescent="0.3">
      <c r="A239" t="s">
        <v>192</v>
      </c>
      <c r="B239" t="s">
        <v>139</v>
      </c>
      <c r="C239" t="s">
        <v>9</v>
      </c>
      <c r="D239">
        <v>25</v>
      </c>
      <c r="E239">
        <v>76</v>
      </c>
      <c r="F239">
        <v>2</v>
      </c>
      <c r="G239">
        <v>800</v>
      </c>
      <c r="H239">
        <v>0.67</v>
      </c>
      <c r="I239" t="s">
        <v>21</v>
      </c>
      <c r="J239">
        <v>800</v>
      </c>
      <c r="K239">
        <v>0.66</v>
      </c>
      <c r="L239">
        <v>2</v>
      </c>
      <c r="M239">
        <v>-1</v>
      </c>
      <c r="N239">
        <v>126</v>
      </c>
      <c r="O239">
        <v>0.34</v>
      </c>
      <c r="P239">
        <v>1.1E-4</v>
      </c>
      <c r="Q239">
        <v>700</v>
      </c>
      <c r="R239">
        <v>5.79</v>
      </c>
      <c r="S239">
        <v>0</v>
      </c>
      <c r="T239">
        <v>0</v>
      </c>
      <c r="U239">
        <v>0</v>
      </c>
      <c r="V239">
        <v>0</v>
      </c>
      <c r="W239">
        <v>3.86</v>
      </c>
      <c r="X239">
        <v>0.15</v>
      </c>
      <c r="Y239">
        <v>7.0000000000000007E-2</v>
      </c>
      <c r="Z239">
        <v>0.12</v>
      </c>
      <c r="AA239">
        <v>0.03</v>
      </c>
      <c r="AB239">
        <v>0</v>
      </c>
      <c r="AC239">
        <v>0</v>
      </c>
    </row>
    <row r="240" spans="1:29" x14ac:dyDescent="0.3">
      <c r="A240" t="s">
        <v>193</v>
      </c>
      <c r="B240" t="s">
        <v>139</v>
      </c>
      <c r="C240" t="s">
        <v>9</v>
      </c>
      <c r="D240">
        <v>25</v>
      </c>
      <c r="E240">
        <v>76</v>
      </c>
      <c r="F240">
        <v>2</v>
      </c>
      <c r="G240">
        <v>0</v>
      </c>
      <c r="H240">
        <v>0</v>
      </c>
      <c r="I240" t="s">
        <v>21</v>
      </c>
      <c r="J240">
        <v>0</v>
      </c>
      <c r="K240">
        <v>0</v>
      </c>
      <c r="L240">
        <v>2</v>
      </c>
      <c r="M240">
        <v>-1</v>
      </c>
      <c r="N240">
        <v>250</v>
      </c>
      <c r="O240">
        <v>0.35</v>
      </c>
      <c r="P240">
        <v>1.11E-4</v>
      </c>
      <c r="Q240">
        <v>600</v>
      </c>
      <c r="R240">
        <v>6</v>
      </c>
      <c r="S240">
        <v>0</v>
      </c>
      <c r="T240">
        <v>0</v>
      </c>
      <c r="U240">
        <v>0</v>
      </c>
      <c r="V240">
        <v>0</v>
      </c>
      <c r="W240">
        <v>4</v>
      </c>
      <c r="X240">
        <v>0</v>
      </c>
      <c r="Y240">
        <v>0.4</v>
      </c>
      <c r="Z240">
        <v>0.2</v>
      </c>
      <c r="AA240">
        <v>0.08</v>
      </c>
      <c r="AB240">
        <v>0.05</v>
      </c>
      <c r="AC240">
        <v>1.4999999999999999E-2</v>
      </c>
    </row>
    <row r="241" spans="1:29" x14ac:dyDescent="0.3">
      <c r="A241" t="s">
        <v>194</v>
      </c>
      <c r="B241" t="s">
        <v>139</v>
      </c>
      <c r="C241" t="s">
        <v>9</v>
      </c>
      <c r="D241">
        <v>25</v>
      </c>
      <c r="E241">
        <v>76</v>
      </c>
      <c r="F241">
        <v>2</v>
      </c>
      <c r="G241">
        <v>0</v>
      </c>
      <c r="H241">
        <v>0</v>
      </c>
      <c r="I241" t="s">
        <v>21</v>
      </c>
      <c r="J241">
        <v>950</v>
      </c>
      <c r="K241">
        <v>1</v>
      </c>
      <c r="L241">
        <v>2</v>
      </c>
      <c r="M241">
        <v>-1</v>
      </c>
      <c r="N241">
        <v>520</v>
      </c>
      <c r="O241">
        <v>0.36</v>
      </c>
      <c r="P241">
        <v>4.4299999999999999E-5</v>
      </c>
      <c r="Q241">
        <v>500</v>
      </c>
      <c r="R241">
        <v>6.61</v>
      </c>
      <c r="S241">
        <v>0</v>
      </c>
      <c r="T241">
        <v>0</v>
      </c>
      <c r="U241">
        <v>0</v>
      </c>
      <c r="V241">
        <v>0</v>
      </c>
      <c r="W241">
        <v>4.2300000000000004</v>
      </c>
      <c r="X241">
        <v>0</v>
      </c>
      <c r="Y241">
        <v>1.18</v>
      </c>
      <c r="Z241">
        <v>0.13</v>
      </c>
      <c r="AA241">
        <v>2.5999999999999999E-2</v>
      </c>
      <c r="AB241">
        <v>1.0999999999999999E-2</v>
      </c>
      <c r="AC241">
        <v>3.0000000000000001E-3</v>
      </c>
    </row>
    <row r="242" spans="1:29" x14ac:dyDescent="0.3">
      <c r="A242" t="s">
        <v>195</v>
      </c>
      <c r="B242" t="s">
        <v>139</v>
      </c>
      <c r="C242" t="s">
        <v>9</v>
      </c>
      <c r="D242">
        <v>25</v>
      </c>
      <c r="E242">
        <v>76</v>
      </c>
      <c r="F242">
        <v>2</v>
      </c>
      <c r="G242">
        <v>0</v>
      </c>
      <c r="H242">
        <v>0</v>
      </c>
      <c r="I242" t="s">
        <v>21</v>
      </c>
      <c r="J242">
        <v>0</v>
      </c>
      <c r="K242">
        <v>0</v>
      </c>
      <c r="L242">
        <v>2</v>
      </c>
      <c r="M242">
        <v>-1</v>
      </c>
      <c r="N242">
        <v>520</v>
      </c>
      <c r="O242">
        <v>0.36</v>
      </c>
      <c r="P242">
        <v>4.4299999999999999E-5</v>
      </c>
      <c r="Q242">
        <v>500</v>
      </c>
      <c r="R242">
        <v>6.61</v>
      </c>
      <c r="S242">
        <v>0</v>
      </c>
      <c r="T242">
        <v>0</v>
      </c>
      <c r="U242">
        <v>0</v>
      </c>
      <c r="V242">
        <v>0</v>
      </c>
      <c r="W242">
        <v>4.2300000000000004</v>
      </c>
      <c r="X242">
        <v>0</v>
      </c>
      <c r="Y242">
        <v>1.18</v>
      </c>
      <c r="Z242">
        <v>0.13</v>
      </c>
      <c r="AA242">
        <v>2.5999999999999999E-2</v>
      </c>
      <c r="AB242">
        <v>1.0999999999999999E-2</v>
      </c>
      <c r="AC242">
        <v>3.0000000000000001E-3</v>
      </c>
    </row>
    <row r="243" spans="1:29" x14ac:dyDescent="0.3">
      <c r="A243" t="s">
        <v>196</v>
      </c>
      <c r="B243" t="s">
        <v>139</v>
      </c>
      <c r="C243" t="s">
        <v>9</v>
      </c>
      <c r="D243">
        <v>25</v>
      </c>
      <c r="E243">
        <v>76</v>
      </c>
      <c r="F243">
        <v>2</v>
      </c>
      <c r="G243">
        <v>0</v>
      </c>
      <c r="H243">
        <v>0</v>
      </c>
      <c r="I243" t="s">
        <v>21</v>
      </c>
      <c r="J243">
        <v>950</v>
      </c>
      <c r="K243">
        <v>1</v>
      </c>
      <c r="L243">
        <v>2</v>
      </c>
      <c r="M243">
        <v>-1</v>
      </c>
      <c r="N243">
        <v>291</v>
      </c>
      <c r="O243">
        <v>0.37</v>
      </c>
      <c r="P243">
        <v>7.7999999999999999E-5</v>
      </c>
      <c r="Q243">
        <v>600</v>
      </c>
      <c r="R243">
        <v>6.61</v>
      </c>
      <c r="S243">
        <v>0</v>
      </c>
      <c r="T243">
        <v>0</v>
      </c>
      <c r="U243">
        <v>0</v>
      </c>
      <c r="V243">
        <v>0</v>
      </c>
      <c r="W243">
        <v>4.2300000000000004</v>
      </c>
      <c r="X243">
        <v>0</v>
      </c>
      <c r="Y243">
        <v>1.18</v>
      </c>
      <c r="Z243">
        <v>0.13</v>
      </c>
      <c r="AA243">
        <v>2.5999999999999999E-2</v>
      </c>
      <c r="AB243">
        <v>1.0999999999999999E-2</v>
      </c>
      <c r="AC243">
        <v>3.0000000000000001E-3</v>
      </c>
    </row>
    <row r="244" spans="1:29" x14ac:dyDescent="0.3">
      <c r="A244" t="s">
        <v>197</v>
      </c>
      <c r="B244" t="s">
        <v>139</v>
      </c>
      <c r="C244" t="s">
        <v>9</v>
      </c>
      <c r="D244">
        <v>25</v>
      </c>
      <c r="E244">
        <v>76</v>
      </c>
      <c r="F244">
        <v>2</v>
      </c>
      <c r="G244">
        <v>0</v>
      </c>
      <c r="H244">
        <v>0</v>
      </c>
      <c r="I244" t="s">
        <v>21</v>
      </c>
      <c r="J244">
        <v>0</v>
      </c>
      <c r="K244">
        <v>0</v>
      </c>
      <c r="L244">
        <v>2</v>
      </c>
      <c r="M244">
        <v>-1</v>
      </c>
      <c r="N244">
        <v>125</v>
      </c>
      <c r="O244">
        <v>0.49</v>
      </c>
      <c r="P244">
        <v>1.2799999999999999E-4</v>
      </c>
      <c r="Q244">
        <v>700</v>
      </c>
      <c r="R244">
        <v>6.61</v>
      </c>
      <c r="S244">
        <v>0</v>
      </c>
      <c r="T244">
        <v>0</v>
      </c>
      <c r="U244">
        <v>0</v>
      </c>
      <c r="V244">
        <v>0</v>
      </c>
      <c r="W244">
        <v>4.2300000000000004</v>
      </c>
      <c r="X244">
        <v>0</v>
      </c>
      <c r="Y244">
        <v>1.18</v>
      </c>
      <c r="Z244">
        <v>0.13</v>
      </c>
      <c r="AA244">
        <v>2.5999999999999999E-2</v>
      </c>
      <c r="AB244">
        <v>1.0999999999999999E-2</v>
      </c>
      <c r="AC244">
        <v>3.0000000000000001E-3</v>
      </c>
    </row>
    <row r="245" spans="1:29" x14ac:dyDescent="0.3">
      <c r="A245" t="s">
        <v>198</v>
      </c>
      <c r="B245" t="s">
        <v>139</v>
      </c>
      <c r="C245" t="s">
        <v>9</v>
      </c>
      <c r="D245">
        <v>25</v>
      </c>
      <c r="E245">
        <v>76</v>
      </c>
      <c r="F245">
        <v>2</v>
      </c>
      <c r="G245">
        <v>0</v>
      </c>
      <c r="H245">
        <v>0</v>
      </c>
      <c r="I245" t="s">
        <v>21</v>
      </c>
      <c r="J245">
        <v>1050</v>
      </c>
      <c r="K245">
        <v>0.5</v>
      </c>
      <c r="L245">
        <v>2</v>
      </c>
      <c r="M245">
        <v>-1</v>
      </c>
      <c r="N245">
        <v>319</v>
      </c>
      <c r="O245">
        <v>0.56000000000000005</v>
      </c>
      <c r="P245">
        <v>5.5300000000000002E-5</v>
      </c>
      <c r="Q245">
        <v>600</v>
      </c>
      <c r="R245">
        <v>6.33</v>
      </c>
      <c r="S245">
        <v>0</v>
      </c>
      <c r="T245">
        <v>0</v>
      </c>
      <c r="U245">
        <v>0</v>
      </c>
      <c r="V245">
        <v>0</v>
      </c>
      <c r="W245">
        <v>4</v>
      </c>
      <c r="X245">
        <v>0</v>
      </c>
      <c r="Y245">
        <v>0.2</v>
      </c>
      <c r="Z245">
        <v>0.17</v>
      </c>
      <c r="AA245">
        <v>0.03</v>
      </c>
      <c r="AB245">
        <v>0.01</v>
      </c>
      <c r="AC245">
        <v>4.0000000000000001E-3</v>
      </c>
    </row>
    <row r="246" spans="1:29" x14ac:dyDescent="0.3">
      <c r="A246" t="s">
        <v>199</v>
      </c>
      <c r="B246" t="s">
        <v>139</v>
      </c>
      <c r="C246" t="s">
        <v>9</v>
      </c>
      <c r="D246">
        <v>25</v>
      </c>
      <c r="E246">
        <v>76</v>
      </c>
      <c r="F246">
        <v>2</v>
      </c>
      <c r="G246">
        <v>0</v>
      </c>
      <c r="H246">
        <v>0</v>
      </c>
      <c r="I246" t="s">
        <v>21</v>
      </c>
      <c r="J246">
        <v>190</v>
      </c>
      <c r="K246">
        <v>6</v>
      </c>
      <c r="L246">
        <v>2</v>
      </c>
      <c r="M246">
        <v>-1</v>
      </c>
      <c r="N246">
        <v>250</v>
      </c>
      <c r="O246">
        <v>0.62</v>
      </c>
      <c r="P246">
        <v>5.38E-5</v>
      </c>
      <c r="Q246">
        <v>600</v>
      </c>
      <c r="R246">
        <v>6.33</v>
      </c>
      <c r="S246">
        <v>0</v>
      </c>
      <c r="T246">
        <v>0</v>
      </c>
      <c r="U246">
        <v>0</v>
      </c>
      <c r="V246">
        <v>0</v>
      </c>
      <c r="W246">
        <v>4</v>
      </c>
      <c r="X246">
        <v>0</v>
      </c>
      <c r="Y246">
        <v>0.2</v>
      </c>
      <c r="Z246">
        <v>0.17</v>
      </c>
      <c r="AA246">
        <v>0.03</v>
      </c>
      <c r="AB246">
        <v>0.01</v>
      </c>
      <c r="AC246">
        <v>4.0000000000000001E-3</v>
      </c>
    </row>
    <row r="247" spans="1:29" x14ac:dyDescent="0.3">
      <c r="A247" t="s">
        <v>200</v>
      </c>
      <c r="B247" t="s">
        <v>139</v>
      </c>
      <c r="C247" t="s">
        <v>9</v>
      </c>
      <c r="D247">
        <v>25</v>
      </c>
      <c r="E247">
        <v>76</v>
      </c>
      <c r="F247">
        <v>2</v>
      </c>
      <c r="G247">
        <v>0</v>
      </c>
      <c r="H247">
        <v>0</v>
      </c>
      <c r="I247" t="s">
        <v>21</v>
      </c>
      <c r="J247">
        <v>0</v>
      </c>
      <c r="K247">
        <v>0</v>
      </c>
      <c r="L247">
        <v>2</v>
      </c>
      <c r="M247">
        <v>-1</v>
      </c>
      <c r="N247">
        <v>250</v>
      </c>
      <c r="O247">
        <v>0.62</v>
      </c>
      <c r="P247">
        <v>4.4299999999999999E-5</v>
      </c>
      <c r="Q247">
        <v>600</v>
      </c>
      <c r="R247">
        <v>6.61</v>
      </c>
      <c r="S247">
        <v>0</v>
      </c>
      <c r="T247">
        <v>0</v>
      </c>
      <c r="U247">
        <v>0</v>
      </c>
      <c r="V247">
        <v>0</v>
      </c>
      <c r="W247">
        <v>4.2300000000000004</v>
      </c>
      <c r="X247">
        <v>0</v>
      </c>
      <c r="Y247">
        <v>1.18</v>
      </c>
      <c r="Z247">
        <v>0.13</v>
      </c>
      <c r="AA247">
        <v>2.5999999999999999E-2</v>
      </c>
      <c r="AB247">
        <v>1.0999999999999999E-2</v>
      </c>
      <c r="AC247">
        <v>3.0000000000000001E-3</v>
      </c>
    </row>
    <row r="248" spans="1:29" x14ac:dyDescent="0.3">
      <c r="A248" t="s">
        <v>201</v>
      </c>
      <c r="B248" t="s">
        <v>139</v>
      </c>
      <c r="C248" t="s">
        <v>9</v>
      </c>
      <c r="D248">
        <v>25</v>
      </c>
      <c r="E248">
        <v>76</v>
      </c>
      <c r="F248">
        <v>2</v>
      </c>
      <c r="G248">
        <v>690</v>
      </c>
      <c r="H248">
        <v>4</v>
      </c>
      <c r="I248" t="s">
        <v>21</v>
      </c>
      <c r="J248">
        <v>1050</v>
      </c>
      <c r="K248">
        <v>0.5</v>
      </c>
      <c r="L248">
        <v>2</v>
      </c>
      <c r="M248">
        <v>-1</v>
      </c>
      <c r="N248">
        <v>319</v>
      </c>
      <c r="O248">
        <v>0.62</v>
      </c>
      <c r="P248">
        <v>4.4400000000000002E-5</v>
      </c>
      <c r="Q248">
        <v>600</v>
      </c>
      <c r="R248">
        <v>6.75</v>
      </c>
      <c r="S248">
        <v>0</v>
      </c>
      <c r="T248">
        <v>0</v>
      </c>
      <c r="U248">
        <v>0</v>
      </c>
      <c r="V248">
        <v>0</v>
      </c>
      <c r="W248">
        <v>4.5</v>
      </c>
      <c r="X248">
        <v>0</v>
      </c>
      <c r="Y248">
        <v>0.4</v>
      </c>
      <c r="Z248">
        <v>0.2</v>
      </c>
      <c r="AA248">
        <v>0.1</v>
      </c>
      <c r="AB248">
        <v>0.05</v>
      </c>
      <c r="AC248">
        <v>0.125</v>
      </c>
    </row>
    <row r="249" spans="1:29" x14ac:dyDescent="0.3">
      <c r="A249" t="s">
        <v>202</v>
      </c>
      <c r="B249" t="s">
        <v>139</v>
      </c>
      <c r="C249" t="s">
        <v>9</v>
      </c>
      <c r="D249">
        <v>25</v>
      </c>
      <c r="E249">
        <v>76</v>
      </c>
      <c r="F249">
        <v>2</v>
      </c>
      <c r="G249">
        <v>0</v>
      </c>
      <c r="H249">
        <v>0</v>
      </c>
      <c r="I249" t="s">
        <v>21</v>
      </c>
      <c r="J249">
        <v>750</v>
      </c>
      <c r="K249">
        <v>1</v>
      </c>
      <c r="L249">
        <v>2</v>
      </c>
      <c r="M249">
        <v>-1</v>
      </c>
      <c r="N249">
        <v>150</v>
      </c>
      <c r="O249">
        <v>0.68300000000000005</v>
      </c>
      <c r="P249">
        <v>1.74E-4</v>
      </c>
      <c r="Q249">
        <v>650</v>
      </c>
      <c r="R249">
        <v>5.98</v>
      </c>
      <c r="S249">
        <v>0</v>
      </c>
      <c r="T249">
        <v>0</v>
      </c>
      <c r="U249">
        <v>0</v>
      </c>
      <c r="V249">
        <v>0</v>
      </c>
      <c r="W249">
        <v>4.25</v>
      </c>
      <c r="X249">
        <v>0.23</v>
      </c>
      <c r="Y249">
        <v>0.23</v>
      </c>
      <c r="Z249">
        <v>0</v>
      </c>
      <c r="AA249">
        <v>0</v>
      </c>
      <c r="AB249">
        <v>0</v>
      </c>
      <c r="AC249">
        <v>0.2</v>
      </c>
    </row>
    <row r="250" spans="1:29" x14ac:dyDescent="0.3">
      <c r="A250" t="s">
        <v>203</v>
      </c>
      <c r="B250" t="s">
        <v>139</v>
      </c>
      <c r="C250" t="s">
        <v>9</v>
      </c>
      <c r="D250">
        <v>25</v>
      </c>
      <c r="E250">
        <v>76</v>
      </c>
      <c r="F250">
        <v>2</v>
      </c>
      <c r="G250">
        <v>0</v>
      </c>
      <c r="H250">
        <v>0</v>
      </c>
      <c r="I250" t="s">
        <v>21</v>
      </c>
      <c r="J250">
        <v>720</v>
      </c>
      <c r="K250">
        <v>2</v>
      </c>
      <c r="L250">
        <v>2</v>
      </c>
      <c r="M250">
        <v>-1</v>
      </c>
      <c r="N250">
        <v>241</v>
      </c>
      <c r="O250">
        <v>0.7</v>
      </c>
      <c r="P250">
        <v>2.83E-5</v>
      </c>
      <c r="Q250">
        <v>650</v>
      </c>
      <c r="R250">
        <v>5.9</v>
      </c>
      <c r="S250">
        <v>0</v>
      </c>
      <c r="T250">
        <v>0</v>
      </c>
      <c r="U250">
        <v>0</v>
      </c>
      <c r="V250">
        <v>0</v>
      </c>
      <c r="W250">
        <v>3.9</v>
      </c>
      <c r="X250">
        <v>0</v>
      </c>
      <c r="Y250">
        <v>0.17</v>
      </c>
      <c r="Z250">
        <v>0.246</v>
      </c>
      <c r="AA250">
        <v>2.9000000000000001E-2</v>
      </c>
      <c r="AB250">
        <v>3.0999999999999999E-3</v>
      </c>
      <c r="AC250">
        <v>3.0999999999999999E-3</v>
      </c>
    </row>
    <row r="251" spans="1:29" x14ac:dyDescent="0.3">
      <c r="A251" t="s">
        <v>204</v>
      </c>
      <c r="B251" t="s">
        <v>139</v>
      </c>
      <c r="C251" t="s">
        <v>9</v>
      </c>
      <c r="D251">
        <v>25</v>
      </c>
      <c r="E251">
        <v>76</v>
      </c>
      <c r="F251">
        <v>2</v>
      </c>
      <c r="G251">
        <v>0</v>
      </c>
      <c r="H251">
        <v>0</v>
      </c>
      <c r="I251" t="s">
        <v>21</v>
      </c>
      <c r="J251">
        <v>0</v>
      </c>
      <c r="K251">
        <v>0</v>
      </c>
      <c r="L251">
        <v>2</v>
      </c>
      <c r="M251">
        <v>-1</v>
      </c>
      <c r="N251">
        <v>250</v>
      </c>
      <c r="O251">
        <v>0.82</v>
      </c>
      <c r="P251">
        <v>2.02E-5</v>
      </c>
      <c r="Q251">
        <v>600</v>
      </c>
      <c r="R251">
        <v>5.98</v>
      </c>
      <c r="S251">
        <v>0</v>
      </c>
      <c r="T251">
        <v>0</v>
      </c>
      <c r="U251">
        <v>0</v>
      </c>
      <c r="V251">
        <v>0</v>
      </c>
      <c r="W251">
        <v>4.07</v>
      </c>
      <c r="X251">
        <v>0</v>
      </c>
      <c r="Y251">
        <v>0.2</v>
      </c>
      <c r="Z251">
        <v>0.1</v>
      </c>
      <c r="AA251">
        <v>5.0000000000000001E-3</v>
      </c>
      <c r="AB251">
        <v>5.0000000000000001E-3</v>
      </c>
      <c r="AC251">
        <v>1E-3</v>
      </c>
    </row>
    <row r="252" spans="1:29" x14ac:dyDescent="0.3">
      <c r="A252" t="s">
        <v>205</v>
      </c>
      <c r="B252" t="s">
        <v>139</v>
      </c>
      <c r="C252" t="s">
        <v>9</v>
      </c>
      <c r="D252">
        <v>25</v>
      </c>
      <c r="E252">
        <v>76</v>
      </c>
      <c r="F252">
        <v>2</v>
      </c>
      <c r="G252">
        <v>0</v>
      </c>
      <c r="H252">
        <v>0</v>
      </c>
      <c r="I252" t="s">
        <v>21</v>
      </c>
      <c r="J252">
        <v>0</v>
      </c>
      <c r="K252">
        <v>0</v>
      </c>
      <c r="L252">
        <v>2</v>
      </c>
      <c r="M252">
        <v>-1</v>
      </c>
      <c r="N252">
        <v>125</v>
      </c>
      <c r="O252">
        <v>0.83299999999999996</v>
      </c>
      <c r="P252">
        <v>2.503E-6</v>
      </c>
      <c r="Q252">
        <v>600</v>
      </c>
      <c r="R252">
        <v>6.61</v>
      </c>
      <c r="S252">
        <v>0</v>
      </c>
      <c r="T252">
        <v>0</v>
      </c>
      <c r="U252">
        <v>0</v>
      </c>
      <c r="V252">
        <v>0</v>
      </c>
      <c r="W252">
        <v>4.2300000000000004</v>
      </c>
      <c r="X252">
        <v>0</v>
      </c>
      <c r="Y252">
        <v>1.18</v>
      </c>
      <c r="Z252">
        <v>0.13</v>
      </c>
      <c r="AA252">
        <v>2.5999999999999999E-2</v>
      </c>
      <c r="AB252">
        <v>1.0999999999999999E-2</v>
      </c>
      <c r="AC252">
        <v>3.0000000000000001E-3</v>
      </c>
    </row>
    <row r="253" spans="1:29" x14ac:dyDescent="0.3">
      <c r="A253" t="s">
        <v>206</v>
      </c>
      <c r="B253" t="s">
        <v>139</v>
      </c>
      <c r="C253" t="s">
        <v>9</v>
      </c>
      <c r="D253">
        <v>25</v>
      </c>
      <c r="E253">
        <v>76</v>
      </c>
      <c r="F253">
        <v>2</v>
      </c>
      <c r="G253">
        <v>0</v>
      </c>
      <c r="H253">
        <v>0</v>
      </c>
      <c r="I253" t="s">
        <v>21</v>
      </c>
      <c r="J253">
        <v>750</v>
      </c>
      <c r="K253">
        <v>1</v>
      </c>
      <c r="L253">
        <v>2</v>
      </c>
      <c r="M253">
        <v>-1</v>
      </c>
      <c r="N253">
        <v>100</v>
      </c>
      <c r="O253">
        <v>0.873</v>
      </c>
      <c r="P253">
        <v>1.18E-4</v>
      </c>
      <c r="Q253">
        <v>650</v>
      </c>
      <c r="R253">
        <v>5.98</v>
      </c>
      <c r="S253">
        <v>0</v>
      </c>
      <c r="T253">
        <v>0</v>
      </c>
      <c r="U253">
        <v>0</v>
      </c>
      <c r="V253">
        <v>0</v>
      </c>
      <c r="W253">
        <v>4.25</v>
      </c>
      <c r="X253">
        <v>0.23</v>
      </c>
      <c r="Y253">
        <v>0.23</v>
      </c>
      <c r="Z253">
        <v>0</v>
      </c>
      <c r="AA253">
        <v>0</v>
      </c>
      <c r="AB253">
        <v>0</v>
      </c>
      <c r="AC253">
        <v>0.4</v>
      </c>
    </row>
    <row r="254" spans="1:29" x14ac:dyDescent="0.3">
      <c r="A254" t="s">
        <v>207</v>
      </c>
      <c r="B254" t="s">
        <v>139</v>
      </c>
      <c r="C254" t="s">
        <v>9</v>
      </c>
      <c r="D254">
        <v>25</v>
      </c>
      <c r="E254">
        <v>76</v>
      </c>
      <c r="F254">
        <v>2</v>
      </c>
      <c r="G254">
        <v>800</v>
      </c>
      <c r="H254">
        <v>0.67</v>
      </c>
      <c r="I254" t="s">
        <v>21</v>
      </c>
      <c r="J254">
        <v>800</v>
      </c>
      <c r="K254">
        <v>0.66</v>
      </c>
      <c r="L254">
        <v>2</v>
      </c>
      <c r="M254">
        <v>-1</v>
      </c>
      <c r="N254">
        <v>18</v>
      </c>
      <c r="O254">
        <v>1</v>
      </c>
      <c r="P254">
        <v>2.6000000000000001E-6</v>
      </c>
      <c r="Q254">
        <v>700</v>
      </c>
      <c r="R254">
        <v>5.79</v>
      </c>
      <c r="S254">
        <v>0</v>
      </c>
      <c r="T254">
        <v>0</v>
      </c>
      <c r="U254">
        <v>0</v>
      </c>
      <c r="V254">
        <v>0</v>
      </c>
      <c r="W254">
        <v>3.86</v>
      </c>
      <c r="X254">
        <v>0.15</v>
      </c>
      <c r="Y254">
        <v>7.0000000000000007E-2</v>
      </c>
      <c r="Z254">
        <v>0.12</v>
      </c>
      <c r="AA254">
        <v>0.03</v>
      </c>
      <c r="AB254">
        <v>0</v>
      </c>
      <c r="AC254">
        <v>0</v>
      </c>
    </row>
    <row r="255" spans="1:29" x14ac:dyDescent="0.3">
      <c r="A255" t="s">
        <v>208</v>
      </c>
      <c r="B255" t="s">
        <v>139</v>
      </c>
      <c r="C255" t="s">
        <v>9</v>
      </c>
      <c r="D255">
        <v>25</v>
      </c>
      <c r="E255">
        <v>76</v>
      </c>
      <c r="F255">
        <v>2</v>
      </c>
      <c r="G255">
        <v>800</v>
      </c>
      <c r="H255">
        <v>0.67</v>
      </c>
      <c r="I255" t="s">
        <v>21</v>
      </c>
      <c r="J255">
        <v>800</v>
      </c>
      <c r="K255">
        <v>0.66</v>
      </c>
      <c r="L255">
        <v>2</v>
      </c>
      <c r="M255">
        <v>-1</v>
      </c>
      <c r="N255">
        <v>45</v>
      </c>
      <c r="O255">
        <v>1</v>
      </c>
      <c r="P255">
        <v>1.1E-5</v>
      </c>
      <c r="Q255">
        <v>700</v>
      </c>
      <c r="R255">
        <v>5.79</v>
      </c>
      <c r="S255">
        <v>0</v>
      </c>
      <c r="T255">
        <v>0</v>
      </c>
      <c r="U255">
        <v>0</v>
      </c>
      <c r="V255">
        <v>0</v>
      </c>
      <c r="W255">
        <v>3.86</v>
      </c>
      <c r="X255">
        <v>0.15</v>
      </c>
      <c r="Y255">
        <v>7.0000000000000007E-2</v>
      </c>
      <c r="Z255">
        <v>0.12</v>
      </c>
      <c r="AA255">
        <v>0.03</v>
      </c>
      <c r="AB255">
        <v>0</v>
      </c>
      <c r="AC255">
        <v>0</v>
      </c>
    </row>
    <row r="256" spans="1:29" x14ac:dyDescent="0.3">
      <c r="A256" t="s">
        <v>209</v>
      </c>
      <c r="B256" t="s">
        <v>139</v>
      </c>
      <c r="C256" t="s">
        <v>9</v>
      </c>
      <c r="D256">
        <v>25</v>
      </c>
      <c r="E256">
        <v>76</v>
      </c>
      <c r="F256">
        <v>2</v>
      </c>
      <c r="G256">
        <v>800</v>
      </c>
      <c r="H256">
        <v>0.67</v>
      </c>
      <c r="I256" t="s">
        <v>21</v>
      </c>
      <c r="J256">
        <v>800</v>
      </c>
      <c r="K256">
        <v>0.66</v>
      </c>
      <c r="L256">
        <v>2</v>
      </c>
      <c r="M256">
        <v>-1</v>
      </c>
      <c r="N256">
        <v>81</v>
      </c>
      <c r="O256">
        <v>1</v>
      </c>
      <c r="P256">
        <v>3.4999999999999997E-5</v>
      </c>
      <c r="Q256">
        <v>700</v>
      </c>
      <c r="R256">
        <v>5.79</v>
      </c>
      <c r="S256">
        <v>0</v>
      </c>
      <c r="T256">
        <v>0</v>
      </c>
      <c r="U256">
        <v>0</v>
      </c>
      <c r="V256">
        <v>0</v>
      </c>
      <c r="W256">
        <v>3.86</v>
      </c>
      <c r="X256">
        <v>0.15</v>
      </c>
      <c r="Y256">
        <v>7.0000000000000007E-2</v>
      </c>
      <c r="Z256">
        <v>0.12</v>
      </c>
      <c r="AA256">
        <v>0.03</v>
      </c>
      <c r="AB256">
        <v>0</v>
      </c>
      <c r="AC256">
        <v>0</v>
      </c>
    </row>
    <row r="257" spans="1:29" x14ac:dyDescent="0.3">
      <c r="A257" t="s">
        <v>210</v>
      </c>
      <c r="B257" t="s">
        <v>139</v>
      </c>
      <c r="C257" t="s">
        <v>9</v>
      </c>
      <c r="D257">
        <v>25</v>
      </c>
      <c r="E257">
        <v>76</v>
      </c>
      <c r="F257">
        <v>2</v>
      </c>
      <c r="G257">
        <v>950</v>
      </c>
      <c r="H257">
        <v>1</v>
      </c>
      <c r="I257" t="s">
        <v>21</v>
      </c>
      <c r="J257">
        <v>600</v>
      </c>
      <c r="K257">
        <v>24</v>
      </c>
      <c r="L257">
        <v>2</v>
      </c>
      <c r="M257">
        <v>-1</v>
      </c>
      <c r="N257">
        <v>250</v>
      </c>
      <c r="O257">
        <v>1.23</v>
      </c>
      <c r="P257">
        <v>2.2099999999999998E-5</v>
      </c>
      <c r="Q257">
        <v>600</v>
      </c>
      <c r="R257">
        <v>6.33</v>
      </c>
      <c r="S257">
        <v>0</v>
      </c>
      <c r="T257">
        <v>0</v>
      </c>
      <c r="U257">
        <v>0</v>
      </c>
      <c r="V257">
        <v>0</v>
      </c>
      <c r="W257">
        <v>4</v>
      </c>
      <c r="X257">
        <v>0</v>
      </c>
      <c r="Y257">
        <v>0.2</v>
      </c>
      <c r="Z257">
        <v>0.17</v>
      </c>
      <c r="AA257">
        <v>0.03</v>
      </c>
      <c r="AB257">
        <v>0.01</v>
      </c>
      <c r="AC257">
        <v>4.0000000000000001E-3</v>
      </c>
    </row>
    <row r="258" spans="1:29" x14ac:dyDescent="0.3">
      <c r="A258" t="s">
        <v>211</v>
      </c>
      <c r="B258" t="s">
        <v>139</v>
      </c>
      <c r="C258" t="s">
        <v>9</v>
      </c>
      <c r="D258">
        <v>25</v>
      </c>
      <c r="E258">
        <v>76</v>
      </c>
      <c r="F258">
        <v>2</v>
      </c>
      <c r="G258">
        <v>0</v>
      </c>
      <c r="H258">
        <v>0</v>
      </c>
      <c r="I258" t="s">
        <v>21</v>
      </c>
      <c r="J258">
        <v>0</v>
      </c>
      <c r="K258">
        <v>0</v>
      </c>
      <c r="L258">
        <v>2</v>
      </c>
      <c r="M258">
        <v>-1</v>
      </c>
      <c r="N258">
        <v>222</v>
      </c>
      <c r="O258">
        <v>1.23</v>
      </c>
      <c r="P258">
        <v>2.5400000000000001E-5</v>
      </c>
      <c r="Q258">
        <v>600</v>
      </c>
      <c r="R258">
        <v>6.61</v>
      </c>
      <c r="S258">
        <v>0</v>
      </c>
      <c r="T258">
        <v>0</v>
      </c>
      <c r="U258">
        <v>0</v>
      </c>
      <c r="V258">
        <v>0</v>
      </c>
      <c r="W258">
        <v>4.2300000000000004</v>
      </c>
      <c r="X258">
        <v>0</v>
      </c>
      <c r="Y258">
        <v>1.18</v>
      </c>
      <c r="Z258">
        <v>0.13</v>
      </c>
      <c r="AA258">
        <v>2.5999999999999999E-2</v>
      </c>
      <c r="AB258">
        <v>1.0999999999999999E-2</v>
      </c>
      <c r="AC258">
        <v>3.0000000000000001E-3</v>
      </c>
    </row>
    <row r="259" spans="1:29" x14ac:dyDescent="0.3">
      <c r="A259" t="s">
        <v>212</v>
      </c>
      <c r="B259" t="s">
        <v>139</v>
      </c>
      <c r="C259" t="s">
        <v>9</v>
      </c>
      <c r="D259">
        <v>25</v>
      </c>
      <c r="E259">
        <v>76</v>
      </c>
      <c r="F259">
        <v>2</v>
      </c>
      <c r="G259">
        <v>0</v>
      </c>
      <c r="H259">
        <v>0</v>
      </c>
      <c r="I259" t="s">
        <v>21</v>
      </c>
      <c r="J259">
        <v>750</v>
      </c>
      <c r="K259">
        <v>1</v>
      </c>
      <c r="L259">
        <v>2</v>
      </c>
      <c r="M259">
        <v>-1</v>
      </c>
      <c r="N259">
        <v>150</v>
      </c>
      <c r="O259">
        <v>1.371</v>
      </c>
      <c r="P259">
        <v>1.36E-4</v>
      </c>
      <c r="Q259">
        <v>650</v>
      </c>
      <c r="R259">
        <v>5.98</v>
      </c>
      <c r="S259">
        <v>0</v>
      </c>
      <c r="T259">
        <v>0</v>
      </c>
      <c r="U259">
        <v>0</v>
      </c>
      <c r="V259">
        <v>0</v>
      </c>
      <c r="W259">
        <v>4.25</v>
      </c>
      <c r="X259">
        <v>0.23</v>
      </c>
      <c r="Y259">
        <v>0.23</v>
      </c>
      <c r="Z259">
        <v>0</v>
      </c>
      <c r="AA259">
        <v>0</v>
      </c>
      <c r="AB259">
        <v>0</v>
      </c>
      <c r="AC259">
        <v>0</v>
      </c>
    </row>
    <row r="260" spans="1:29" x14ac:dyDescent="0.3">
      <c r="A260" t="s">
        <v>213</v>
      </c>
      <c r="B260" t="s">
        <v>139</v>
      </c>
      <c r="C260" t="s">
        <v>9</v>
      </c>
      <c r="D260">
        <v>25</v>
      </c>
      <c r="E260">
        <v>76</v>
      </c>
      <c r="F260">
        <v>2</v>
      </c>
      <c r="G260">
        <v>0</v>
      </c>
      <c r="H260">
        <v>0</v>
      </c>
      <c r="I260" t="s">
        <v>21</v>
      </c>
      <c r="J260">
        <v>1050</v>
      </c>
      <c r="K260">
        <v>0.5</v>
      </c>
      <c r="L260">
        <v>2</v>
      </c>
      <c r="M260">
        <v>-1</v>
      </c>
      <c r="N260">
        <v>250</v>
      </c>
      <c r="O260">
        <v>1.75</v>
      </c>
      <c r="P260">
        <v>2.0000000000000002E-5</v>
      </c>
      <c r="Q260">
        <v>600</v>
      </c>
      <c r="R260">
        <v>6.33</v>
      </c>
      <c r="S260">
        <v>0</v>
      </c>
      <c r="T260">
        <v>0</v>
      </c>
      <c r="U260">
        <v>0</v>
      </c>
      <c r="V260">
        <v>0</v>
      </c>
      <c r="W260">
        <v>4</v>
      </c>
      <c r="X260">
        <v>0</v>
      </c>
      <c r="Y260">
        <v>0.2</v>
      </c>
      <c r="Z260">
        <v>0.17</v>
      </c>
      <c r="AA260">
        <v>0.03</v>
      </c>
      <c r="AB260">
        <v>0.01</v>
      </c>
      <c r="AC260">
        <v>4.0000000000000001E-3</v>
      </c>
    </row>
    <row r="261" spans="1:29" x14ac:dyDescent="0.3">
      <c r="A261" t="s">
        <v>214</v>
      </c>
      <c r="B261" t="s">
        <v>139</v>
      </c>
      <c r="C261" t="s">
        <v>9</v>
      </c>
      <c r="D261">
        <v>25</v>
      </c>
      <c r="E261">
        <v>76</v>
      </c>
      <c r="F261">
        <v>2</v>
      </c>
      <c r="G261">
        <v>0</v>
      </c>
      <c r="H261">
        <v>0</v>
      </c>
      <c r="I261" t="s">
        <v>21</v>
      </c>
      <c r="J261">
        <v>950</v>
      </c>
      <c r="K261">
        <v>1</v>
      </c>
      <c r="L261">
        <v>2</v>
      </c>
      <c r="M261">
        <v>-1</v>
      </c>
      <c r="N261">
        <v>465</v>
      </c>
      <c r="O261">
        <v>1.92</v>
      </c>
      <c r="P261">
        <v>1.19E-5</v>
      </c>
      <c r="Q261">
        <v>500</v>
      </c>
      <c r="R261">
        <v>6.61</v>
      </c>
      <c r="S261">
        <v>0</v>
      </c>
      <c r="T261">
        <v>0</v>
      </c>
      <c r="U261">
        <v>0</v>
      </c>
      <c r="V261">
        <v>0</v>
      </c>
      <c r="W261">
        <v>4.2300000000000004</v>
      </c>
      <c r="X261">
        <v>0</v>
      </c>
      <c r="Y261">
        <v>1.18</v>
      </c>
      <c r="Z261">
        <v>0.13</v>
      </c>
      <c r="AA261">
        <v>2.5999999999999999E-2</v>
      </c>
      <c r="AB261">
        <v>1.0999999999999999E-2</v>
      </c>
      <c r="AC261">
        <v>3.0000000000000001E-3</v>
      </c>
    </row>
    <row r="262" spans="1:29" x14ac:dyDescent="0.3">
      <c r="A262" t="s">
        <v>215</v>
      </c>
      <c r="B262" t="s">
        <v>139</v>
      </c>
      <c r="C262" t="s">
        <v>9</v>
      </c>
      <c r="D262">
        <v>25</v>
      </c>
      <c r="E262">
        <v>76</v>
      </c>
      <c r="F262">
        <v>2</v>
      </c>
      <c r="G262">
        <v>0</v>
      </c>
      <c r="H262">
        <v>0</v>
      </c>
      <c r="I262" t="s">
        <v>21</v>
      </c>
      <c r="J262">
        <v>0</v>
      </c>
      <c r="K262">
        <v>0</v>
      </c>
      <c r="L262">
        <v>2</v>
      </c>
      <c r="M262">
        <v>-1</v>
      </c>
      <c r="N262">
        <v>465</v>
      </c>
      <c r="O262">
        <v>1.92</v>
      </c>
      <c r="P262">
        <v>1.19E-5</v>
      </c>
      <c r="Q262">
        <v>500</v>
      </c>
      <c r="R262">
        <v>6.61</v>
      </c>
      <c r="S262">
        <v>0</v>
      </c>
      <c r="T262">
        <v>0</v>
      </c>
      <c r="U262">
        <v>0</v>
      </c>
      <c r="V262">
        <v>0</v>
      </c>
      <c r="W262">
        <v>4.2300000000000004</v>
      </c>
      <c r="X262">
        <v>0</v>
      </c>
      <c r="Y262">
        <v>1.18</v>
      </c>
      <c r="Z262">
        <v>0.13</v>
      </c>
      <c r="AA262">
        <v>2.5999999999999999E-2</v>
      </c>
      <c r="AB262">
        <v>1.0999999999999999E-2</v>
      </c>
      <c r="AC262">
        <v>3.0000000000000001E-3</v>
      </c>
    </row>
    <row r="263" spans="1:29" x14ac:dyDescent="0.3">
      <c r="A263" t="s">
        <v>216</v>
      </c>
      <c r="B263" t="s">
        <v>139</v>
      </c>
      <c r="C263" t="s">
        <v>9</v>
      </c>
      <c r="D263">
        <v>25</v>
      </c>
      <c r="E263">
        <v>76</v>
      </c>
      <c r="F263">
        <v>2</v>
      </c>
      <c r="G263">
        <v>690</v>
      </c>
      <c r="H263">
        <v>4</v>
      </c>
      <c r="I263" t="s">
        <v>21</v>
      </c>
      <c r="J263">
        <v>1050</v>
      </c>
      <c r="K263">
        <v>0.5</v>
      </c>
      <c r="L263">
        <v>2</v>
      </c>
      <c r="M263">
        <v>-1</v>
      </c>
      <c r="N263">
        <v>250</v>
      </c>
      <c r="O263">
        <v>2.0299999999999998</v>
      </c>
      <c r="P263">
        <v>8.4400000000000005E-6</v>
      </c>
      <c r="Q263">
        <v>600</v>
      </c>
      <c r="R263">
        <v>6.75</v>
      </c>
      <c r="S263">
        <v>0</v>
      </c>
      <c r="T263">
        <v>0</v>
      </c>
      <c r="U263">
        <v>0</v>
      </c>
      <c r="V263">
        <v>0</v>
      </c>
      <c r="W263">
        <v>4.5</v>
      </c>
      <c r="X263">
        <v>0</v>
      </c>
      <c r="Y263">
        <v>0.4</v>
      </c>
      <c r="Z263">
        <v>0.2</v>
      </c>
      <c r="AA263">
        <v>0.1</v>
      </c>
      <c r="AB263">
        <v>0.05</v>
      </c>
      <c r="AC263">
        <v>0.125</v>
      </c>
    </row>
    <row r="264" spans="1:29" x14ac:dyDescent="0.3">
      <c r="A264" t="s">
        <v>217</v>
      </c>
      <c r="B264" t="s">
        <v>139</v>
      </c>
      <c r="C264" t="s">
        <v>9</v>
      </c>
      <c r="D264">
        <v>25</v>
      </c>
      <c r="E264">
        <v>76</v>
      </c>
      <c r="F264">
        <v>2</v>
      </c>
      <c r="G264">
        <v>0</v>
      </c>
      <c r="H264">
        <v>0</v>
      </c>
      <c r="I264" t="s">
        <v>21</v>
      </c>
      <c r="J264">
        <v>0</v>
      </c>
      <c r="K264">
        <v>0</v>
      </c>
      <c r="L264">
        <v>2</v>
      </c>
      <c r="M264">
        <v>-1</v>
      </c>
      <c r="N264">
        <v>222</v>
      </c>
      <c r="O264">
        <v>2.19</v>
      </c>
      <c r="P264">
        <v>1.1399999999999999E-5</v>
      </c>
      <c r="Q264">
        <v>600</v>
      </c>
      <c r="R264">
        <v>5.98</v>
      </c>
      <c r="S264">
        <v>0</v>
      </c>
      <c r="T264">
        <v>0</v>
      </c>
      <c r="U264">
        <v>0</v>
      </c>
      <c r="V264">
        <v>0</v>
      </c>
      <c r="W264">
        <v>4.07</v>
      </c>
      <c r="X264">
        <v>0</v>
      </c>
      <c r="Y264">
        <v>0.2</v>
      </c>
      <c r="Z264">
        <v>0.1</v>
      </c>
      <c r="AA264">
        <v>5.0000000000000001E-3</v>
      </c>
      <c r="AB264">
        <v>5.0000000000000001E-3</v>
      </c>
      <c r="AC264">
        <v>1E-3</v>
      </c>
    </row>
    <row r="265" spans="1:29" x14ac:dyDescent="0.3">
      <c r="A265" t="s">
        <v>218</v>
      </c>
      <c r="B265" t="s">
        <v>139</v>
      </c>
      <c r="C265" t="s">
        <v>9</v>
      </c>
      <c r="D265">
        <v>25</v>
      </c>
      <c r="E265">
        <v>76</v>
      </c>
      <c r="F265">
        <v>2</v>
      </c>
      <c r="G265">
        <v>0</v>
      </c>
      <c r="H265">
        <v>0</v>
      </c>
      <c r="I265" t="s">
        <v>21</v>
      </c>
      <c r="J265">
        <v>900</v>
      </c>
      <c r="K265">
        <v>2</v>
      </c>
      <c r="L265">
        <v>2</v>
      </c>
      <c r="M265">
        <v>-1</v>
      </c>
      <c r="N265">
        <v>300</v>
      </c>
      <c r="O265">
        <v>2.86</v>
      </c>
      <c r="P265">
        <v>3.05E-6</v>
      </c>
      <c r="Q265">
        <v>550</v>
      </c>
      <c r="R265">
        <v>6</v>
      </c>
      <c r="S265">
        <v>0</v>
      </c>
      <c r="T265">
        <v>0</v>
      </c>
      <c r="U265">
        <v>0</v>
      </c>
      <c r="V265">
        <v>0</v>
      </c>
      <c r="W265">
        <v>4</v>
      </c>
      <c r="X265">
        <v>0</v>
      </c>
      <c r="Y265">
        <v>0.25</v>
      </c>
      <c r="Z265">
        <v>0.2</v>
      </c>
      <c r="AA265">
        <v>0.08</v>
      </c>
      <c r="AB265">
        <v>0.05</v>
      </c>
      <c r="AC265">
        <v>0.01</v>
      </c>
    </row>
    <row r="266" spans="1:29" x14ac:dyDescent="0.3">
      <c r="A266" t="s">
        <v>219</v>
      </c>
      <c r="B266" t="s">
        <v>139</v>
      </c>
      <c r="C266" t="s">
        <v>9</v>
      </c>
      <c r="D266">
        <v>25</v>
      </c>
      <c r="E266">
        <v>76</v>
      </c>
      <c r="F266">
        <v>2</v>
      </c>
      <c r="G266">
        <v>0</v>
      </c>
      <c r="H266">
        <v>0</v>
      </c>
      <c r="I266" t="s">
        <v>21</v>
      </c>
      <c r="J266">
        <v>750</v>
      </c>
      <c r="K266">
        <v>1</v>
      </c>
      <c r="L266">
        <v>2</v>
      </c>
      <c r="M266">
        <v>-1</v>
      </c>
      <c r="N266">
        <v>100</v>
      </c>
      <c r="O266">
        <v>4.6840000000000002</v>
      </c>
      <c r="P266">
        <v>3.4799999999999999E-5</v>
      </c>
      <c r="Q266">
        <v>650</v>
      </c>
      <c r="R266">
        <v>5.98</v>
      </c>
      <c r="S266">
        <v>0</v>
      </c>
      <c r="T266">
        <v>0</v>
      </c>
      <c r="U266">
        <v>0</v>
      </c>
      <c r="V266">
        <v>0</v>
      </c>
      <c r="W266">
        <v>4.25</v>
      </c>
      <c r="X266">
        <v>0.23</v>
      </c>
      <c r="Y266">
        <v>0.23</v>
      </c>
      <c r="Z266">
        <v>0</v>
      </c>
      <c r="AA266">
        <v>0</v>
      </c>
      <c r="AB266">
        <v>0</v>
      </c>
      <c r="AC266">
        <v>0.2</v>
      </c>
    </row>
    <row r="267" spans="1:29" x14ac:dyDescent="0.3">
      <c r="A267" t="s">
        <v>220</v>
      </c>
      <c r="B267" t="s">
        <v>139</v>
      </c>
      <c r="C267" t="s">
        <v>9</v>
      </c>
      <c r="D267">
        <v>25</v>
      </c>
      <c r="E267">
        <v>76</v>
      </c>
      <c r="F267">
        <v>2</v>
      </c>
      <c r="G267">
        <v>0</v>
      </c>
      <c r="H267">
        <v>0</v>
      </c>
      <c r="I267" t="s">
        <v>21</v>
      </c>
      <c r="J267">
        <v>750</v>
      </c>
      <c r="K267">
        <v>1</v>
      </c>
      <c r="L267">
        <v>2</v>
      </c>
      <c r="M267">
        <v>-1</v>
      </c>
      <c r="N267">
        <v>100</v>
      </c>
      <c r="O267">
        <v>4.827</v>
      </c>
      <c r="P267">
        <v>4.9499999999999997E-5</v>
      </c>
      <c r="Q267">
        <v>650</v>
      </c>
      <c r="R267">
        <v>5.98</v>
      </c>
      <c r="S267">
        <v>0</v>
      </c>
      <c r="T267">
        <v>0</v>
      </c>
      <c r="U267">
        <v>0</v>
      </c>
      <c r="V267">
        <v>0</v>
      </c>
      <c r="W267">
        <v>4.25</v>
      </c>
      <c r="X267">
        <v>0.23</v>
      </c>
      <c r="Y267">
        <v>0.23</v>
      </c>
      <c r="Z267">
        <v>0</v>
      </c>
      <c r="AA267">
        <v>0</v>
      </c>
      <c r="AB267">
        <v>0</v>
      </c>
      <c r="AC267">
        <v>0</v>
      </c>
    </row>
    <row r="268" spans="1:29" x14ac:dyDescent="0.3">
      <c r="A268" t="s">
        <v>221</v>
      </c>
      <c r="B268" t="s">
        <v>139</v>
      </c>
      <c r="C268" t="s">
        <v>9</v>
      </c>
      <c r="D268">
        <v>25</v>
      </c>
      <c r="E268">
        <v>76</v>
      </c>
      <c r="F268">
        <v>2</v>
      </c>
      <c r="G268">
        <v>0</v>
      </c>
      <c r="H268">
        <v>0</v>
      </c>
      <c r="I268" t="s">
        <v>21</v>
      </c>
      <c r="J268">
        <v>0</v>
      </c>
      <c r="K268">
        <v>0</v>
      </c>
      <c r="L268">
        <v>2</v>
      </c>
      <c r="M268">
        <v>-1</v>
      </c>
      <c r="N268">
        <v>361</v>
      </c>
      <c r="O268">
        <v>5.33</v>
      </c>
      <c r="P268">
        <v>9.64E-7</v>
      </c>
      <c r="Q268">
        <v>500</v>
      </c>
      <c r="R268">
        <v>6.61</v>
      </c>
      <c r="S268">
        <v>0</v>
      </c>
      <c r="T268">
        <v>0</v>
      </c>
      <c r="U268">
        <v>0</v>
      </c>
      <c r="V268">
        <v>0</v>
      </c>
      <c r="W268">
        <v>4.2300000000000004</v>
      </c>
      <c r="X268">
        <v>0</v>
      </c>
      <c r="Y268">
        <v>1.18</v>
      </c>
      <c r="Z268">
        <v>0.13</v>
      </c>
      <c r="AA268">
        <v>2.5999999999999999E-2</v>
      </c>
      <c r="AB268">
        <v>1.0999999999999999E-2</v>
      </c>
      <c r="AC268">
        <v>3.0000000000000001E-3</v>
      </c>
    </row>
    <row r="269" spans="1:29" x14ac:dyDescent="0.3">
      <c r="A269" t="s">
        <v>222</v>
      </c>
      <c r="B269" t="s">
        <v>139</v>
      </c>
      <c r="C269" t="s">
        <v>9</v>
      </c>
      <c r="D269">
        <v>25</v>
      </c>
      <c r="E269">
        <v>76</v>
      </c>
      <c r="F269">
        <v>2</v>
      </c>
      <c r="G269">
        <v>0</v>
      </c>
      <c r="H269">
        <v>0</v>
      </c>
      <c r="I269" t="s">
        <v>21</v>
      </c>
      <c r="J269">
        <v>0</v>
      </c>
      <c r="K269">
        <v>0</v>
      </c>
      <c r="L269">
        <v>2</v>
      </c>
      <c r="M269">
        <v>-1</v>
      </c>
      <c r="N269">
        <v>125</v>
      </c>
      <c r="O269">
        <v>5.58</v>
      </c>
      <c r="P269">
        <v>1.13E-5</v>
      </c>
      <c r="Q269">
        <v>600</v>
      </c>
      <c r="R269">
        <v>6</v>
      </c>
      <c r="S269">
        <v>0</v>
      </c>
      <c r="T269">
        <v>0</v>
      </c>
      <c r="U269">
        <v>0</v>
      </c>
      <c r="V269">
        <v>0</v>
      </c>
      <c r="W269">
        <v>4</v>
      </c>
      <c r="X269">
        <v>0</v>
      </c>
      <c r="Y269">
        <v>0.4</v>
      </c>
      <c r="Z269">
        <v>0.2</v>
      </c>
      <c r="AA269">
        <v>0.08</v>
      </c>
      <c r="AB269">
        <v>0.05</v>
      </c>
      <c r="AC269">
        <v>1.4999999999999999E-2</v>
      </c>
    </row>
    <row r="270" spans="1:29" x14ac:dyDescent="0.3">
      <c r="A270" t="s">
        <v>223</v>
      </c>
      <c r="B270" t="s">
        <v>139</v>
      </c>
      <c r="C270" t="s">
        <v>9</v>
      </c>
      <c r="D270">
        <v>25</v>
      </c>
      <c r="E270">
        <v>76</v>
      </c>
      <c r="F270">
        <v>2</v>
      </c>
      <c r="G270">
        <v>0</v>
      </c>
      <c r="H270">
        <v>0</v>
      </c>
      <c r="I270" t="s">
        <v>21</v>
      </c>
      <c r="J270">
        <v>900</v>
      </c>
      <c r="K270">
        <v>2</v>
      </c>
      <c r="L270">
        <v>2</v>
      </c>
      <c r="M270">
        <v>-1</v>
      </c>
      <c r="N270">
        <v>300</v>
      </c>
      <c r="O270">
        <v>6.88</v>
      </c>
      <c r="P270">
        <v>2.5500000000000001E-6</v>
      </c>
      <c r="Q270">
        <v>550</v>
      </c>
      <c r="R270">
        <v>6</v>
      </c>
      <c r="S270">
        <v>0</v>
      </c>
      <c r="T270">
        <v>0</v>
      </c>
      <c r="U270">
        <v>0</v>
      </c>
      <c r="V270">
        <v>0</v>
      </c>
      <c r="W270">
        <v>4</v>
      </c>
      <c r="X270">
        <v>0</v>
      </c>
      <c r="Y270">
        <v>0.25</v>
      </c>
      <c r="Z270">
        <v>0.2</v>
      </c>
      <c r="AA270">
        <v>0.08</v>
      </c>
      <c r="AB270">
        <v>0.05</v>
      </c>
      <c r="AC270">
        <v>0.01</v>
      </c>
    </row>
    <row r="271" spans="1:29" x14ac:dyDescent="0.3">
      <c r="A271" t="s">
        <v>224</v>
      </c>
      <c r="B271" t="s">
        <v>139</v>
      </c>
      <c r="C271" t="s">
        <v>9</v>
      </c>
      <c r="D271">
        <v>25</v>
      </c>
      <c r="E271">
        <v>76</v>
      </c>
      <c r="F271">
        <v>2</v>
      </c>
      <c r="G271">
        <v>0</v>
      </c>
      <c r="H271">
        <v>0</v>
      </c>
      <c r="I271" t="s">
        <v>21</v>
      </c>
      <c r="J271">
        <v>900</v>
      </c>
      <c r="K271">
        <v>2</v>
      </c>
      <c r="L271">
        <v>2</v>
      </c>
      <c r="M271">
        <v>-1</v>
      </c>
      <c r="N271">
        <v>300</v>
      </c>
      <c r="O271">
        <v>7.66</v>
      </c>
      <c r="P271">
        <v>2.2500000000000001E-6</v>
      </c>
      <c r="Q271">
        <v>550</v>
      </c>
      <c r="R271">
        <v>6</v>
      </c>
      <c r="S271">
        <v>0</v>
      </c>
      <c r="T271">
        <v>0</v>
      </c>
      <c r="U271">
        <v>0</v>
      </c>
      <c r="V271">
        <v>0</v>
      </c>
      <c r="W271">
        <v>4</v>
      </c>
      <c r="X271">
        <v>0</v>
      </c>
      <c r="Y271">
        <v>0.25</v>
      </c>
      <c r="Z271">
        <v>0.2</v>
      </c>
      <c r="AA271">
        <v>0.08</v>
      </c>
      <c r="AB271">
        <v>0.05</v>
      </c>
      <c r="AC271">
        <v>0.01</v>
      </c>
    </row>
    <row r="272" spans="1:29" x14ac:dyDescent="0.3">
      <c r="A272" t="s">
        <v>225</v>
      </c>
      <c r="B272" t="s">
        <v>139</v>
      </c>
      <c r="C272" t="s">
        <v>9</v>
      </c>
      <c r="D272">
        <v>25</v>
      </c>
      <c r="E272">
        <v>76</v>
      </c>
      <c r="F272">
        <v>2</v>
      </c>
      <c r="G272">
        <v>0</v>
      </c>
      <c r="H272">
        <v>0</v>
      </c>
      <c r="I272" t="s">
        <v>21</v>
      </c>
      <c r="J272">
        <v>0</v>
      </c>
      <c r="K272">
        <v>0</v>
      </c>
      <c r="L272">
        <v>2</v>
      </c>
      <c r="M272">
        <v>-1</v>
      </c>
      <c r="N272">
        <v>200</v>
      </c>
      <c r="O272">
        <v>8</v>
      </c>
      <c r="P272">
        <v>3.8600000000000003E-6</v>
      </c>
      <c r="Q272">
        <v>600</v>
      </c>
      <c r="R272">
        <v>6.44</v>
      </c>
      <c r="S272">
        <v>0</v>
      </c>
      <c r="T272">
        <v>0</v>
      </c>
      <c r="U272">
        <v>0</v>
      </c>
      <c r="V272">
        <v>0</v>
      </c>
      <c r="W272">
        <v>3.87</v>
      </c>
      <c r="X272">
        <v>0</v>
      </c>
      <c r="Y272">
        <v>0.25</v>
      </c>
      <c r="Z272">
        <v>0.2</v>
      </c>
      <c r="AA272">
        <v>0.08</v>
      </c>
      <c r="AB272">
        <v>0.05</v>
      </c>
      <c r="AC272">
        <v>0.01</v>
      </c>
    </row>
    <row r="273" spans="1:29" x14ac:dyDescent="0.3">
      <c r="A273" t="s">
        <v>226</v>
      </c>
      <c r="B273" t="s">
        <v>139</v>
      </c>
      <c r="C273" t="s">
        <v>9</v>
      </c>
      <c r="D273">
        <v>25</v>
      </c>
      <c r="E273">
        <v>76</v>
      </c>
      <c r="F273">
        <v>2</v>
      </c>
      <c r="G273">
        <v>0</v>
      </c>
      <c r="H273">
        <v>0</v>
      </c>
      <c r="I273" t="s">
        <v>21</v>
      </c>
      <c r="J273">
        <v>720</v>
      </c>
      <c r="K273">
        <v>2</v>
      </c>
      <c r="L273">
        <v>2</v>
      </c>
      <c r="M273">
        <v>-1</v>
      </c>
      <c r="N273">
        <v>673</v>
      </c>
      <c r="O273">
        <v>8.66</v>
      </c>
      <c r="P273">
        <v>5.5600000000000002E-8</v>
      </c>
      <c r="Q273">
        <v>315</v>
      </c>
      <c r="R273">
        <v>5.9</v>
      </c>
      <c r="S273">
        <v>0</v>
      </c>
      <c r="T273">
        <v>0</v>
      </c>
      <c r="U273">
        <v>0</v>
      </c>
      <c r="V273">
        <v>0</v>
      </c>
      <c r="W273">
        <v>3.9</v>
      </c>
      <c r="X273">
        <v>0</v>
      </c>
      <c r="Y273">
        <v>0.17</v>
      </c>
      <c r="Z273">
        <v>0.246</v>
      </c>
      <c r="AA273">
        <v>2.9000000000000001E-2</v>
      </c>
      <c r="AB273">
        <v>3.0999999999999999E-3</v>
      </c>
      <c r="AC273">
        <v>3.0999999999999999E-3</v>
      </c>
    </row>
    <row r="274" spans="1:29" x14ac:dyDescent="0.3">
      <c r="A274" t="s">
        <v>227</v>
      </c>
      <c r="B274" t="s">
        <v>139</v>
      </c>
      <c r="C274" t="s">
        <v>9</v>
      </c>
      <c r="D274">
        <v>25</v>
      </c>
      <c r="E274">
        <v>76</v>
      </c>
      <c r="F274">
        <v>2</v>
      </c>
      <c r="G274">
        <v>0</v>
      </c>
      <c r="H274">
        <v>0</v>
      </c>
      <c r="I274" t="s">
        <v>21</v>
      </c>
      <c r="J274">
        <v>720</v>
      </c>
      <c r="K274">
        <v>2</v>
      </c>
      <c r="L274">
        <v>2</v>
      </c>
      <c r="M274">
        <v>-1</v>
      </c>
      <c r="N274">
        <v>138</v>
      </c>
      <c r="O274">
        <v>9.1</v>
      </c>
      <c r="P274">
        <v>3.0000000000000001E-6</v>
      </c>
      <c r="Q274">
        <v>650</v>
      </c>
      <c r="R274">
        <v>5.9</v>
      </c>
      <c r="S274">
        <v>0</v>
      </c>
      <c r="T274">
        <v>0</v>
      </c>
      <c r="U274">
        <v>0</v>
      </c>
      <c r="V274">
        <v>0</v>
      </c>
      <c r="W274">
        <v>3.9</v>
      </c>
      <c r="X274">
        <v>0</v>
      </c>
      <c r="Y274">
        <v>0.17</v>
      </c>
      <c r="Z274">
        <v>0.246</v>
      </c>
      <c r="AA274">
        <v>2.9000000000000001E-2</v>
      </c>
      <c r="AB274">
        <v>3.0999999999999999E-3</v>
      </c>
      <c r="AC274">
        <v>3.0999999999999999E-3</v>
      </c>
    </row>
    <row r="275" spans="1:29" x14ac:dyDescent="0.3">
      <c r="A275" t="s">
        <v>228</v>
      </c>
      <c r="B275" t="s">
        <v>139</v>
      </c>
      <c r="C275" t="s">
        <v>9</v>
      </c>
      <c r="D275">
        <v>25</v>
      </c>
      <c r="E275">
        <v>76</v>
      </c>
      <c r="F275">
        <v>2</v>
      </c>
      <c r="G275">
        <v>0</v>
      </c>
      <c r="H275">
        <v>0</v>
      </c>
      <c r="I275" t="s">
        <v>21</v>
      </c>
      <c r="J275">
        <v>0</v>
      </c>
      <c r="K275">
        <v>0</v>
      </c>
      <c r="L275">
        <v>2</v>
      </c>
      <c r="M275">
        <v>-1</v>
      </c>
      <c r="N275">
        <v>319</v>
      </c>
      <c r="O275">
        <v>11.53</v>
      </c>
      <c r="P275">
        <v>2.3800000000000001E-6</v>
      </c>
      <c r="Q275">
        <v>500</v>
      </c>
      <c r="R275">
        <v>6.61</v>
      </c>
      <c r="S275">
        <v>0</v>
      </c>
      <c r="T275">
        <v>0</v>
      </c>
      <c r="U275">
        <v>0</v>
      </c>
      <c r="V275">
        <v>0</v>
      </c>
      <c r="W275">
        <v>4.2300000000000004</v>
      </c>
      <c r="X275">
        <v>0</v>
      </c>
      <c r="Y275">
        <v>1.18</v>
      </c>
      <c r="Z275">
        <v>0.13</v>
      </c>
      <c r="AA275">
        <v>2.5999999999999999E-2</v>
      </c>
      <c r="AB275">
        <v>1.0999999999999999E-2</v>
      </c>
      <c r="AC275">
        <v>3.0000000000000001E-3</v>
      </c>
    </row>
    <row r="276" spans="1:29" x14ac:dyDescent="0.3">
      <c r="A276" t="s">
        <v>229</v>
      </c>
      <c r="B276" t="s">
        <v>139</v>
      </c>
      <c r="C276" t="s">
        <v>9</v>
      </c>
      <c r="D276">
        <v>25</v>
      </c>
      <c r="E276">
        <v>76</v>
      </c>
      <c r="F276">
        <v>2</v>
      </c>
      <c r="G276">
        <v>0</v>
      </c>
      <c r="H276">
        <v>0</v>
      </c>
      <c r="I276" t="s">
        <v>21</v>
      </c>
      <c r="J276">
        <v>0</v>
      </c>
      <c r="K276">
        <v>0</v>
      </c>
      <c r="L276">
        <v>2</v>
      </c>
      <c r="M276">
        <v>-1</v>
      </c>
      <c r="N276">
        <v>14</v>
      </c>
      <c r="O276">
        <v>12.5</v>
      </c>
      <c r="P276">
        <v>1.1000000000000001E-6</v>
      </c>
      <c r="Q276">
        <v>700</v>
      </c>
      <c r="R276">
        <v>6.61</v>
      </c>
      <c r="S276">
        <v>0</v>
      </c>
      <c r="T276">
        <v>0</v>
      </c>
      <c r="U276">
        <v>0</v>
      </c>
      <c r="V276">
        <v>0</v>
      </c>
      <c r="W276">
        <v>4.2300000000000004</v>
      </c>
      <c r="X276">
        <v>0</v>
      </c>
      <c r="Y276">
        <v>1.18</v>
      </c>
      <c r="Z276">
        <v>0.13</v>
      </c>
      <c r="AA276">
        <v>2.5999999999999999E-2</v>
      </c>
      <c r="AB276">
        <v>1.0999999999999999E-2</v>
      </c>
      <c r="AC276">
        <v>3.0000000000000001E-3</v>
      </c>
    </row>
    <row r="277" spans="1:29" x14ac:dyDescent="0.3">
      <c r="A277" t="s">
        <v>230</v>
      </c>
      <c r="B277" t="s">
        <v>139</v>
      </c>
      <c r="C277" t="s">
        <v>9</v>
      </c>
      <c r="D277">
        <v>25</v>
      </c>
      <c r="E277">
        <v>76</v>
      </c>
      <c r="F277">
        <v>2</v>
      </c>
      <c r="G277">
        <v>0</v>
      </c>
      <c r="H277">
        <v>0</v>
      </c>
      <c r="I277" t="s">
        <v>21</v>
      </c>
      <c r="J277">
        <v>190</v>
      </c>
      <c r="K277">
        <v>6</v>
      </c>
      <c r="L277">
        <v>2</v>
      </c>
      <c r="M277">
        <v>-1</v>
      </c>
      <c r="N277">
        <v>125</v>
      </c>
      <c r="O277">
        <v>14</v>
      </c>
      <c r="P277">
        <v>2.7199999999999998E-6</v>
      </c>
      <c r="Q277">
        <v>600</v>
      </c>
      <c r="R277">
        <v>6.33</v>
      </c>
      <c r="S277">
        <v>0</v>
      </c>
      <c r="T277">
        <v>0</v>
      </c>
      <c r="U277">
        <v>0</v>
      </c>
      <c r="V277">
        <v>0</v>
      </c>
      <c r="W277">
        <v>4</v>
      </c>
      <c r="X277">
        <v>0</v>
      </c>
      <c r="Y277">
        <v>0.2</v>
      </c>
      <c r="Z277">
        <v>0.17</v>
      </c>
      <c r="AA277">
        <v>0.03</v>
      </c>
      <c r="AB277">
        <v>0.01</v>
      </c>
      <c r="AC277">
        <v>4.0000000000000001E-3</v>
      </c>
    </row>
    <row r="278" spans="1:29" x14ac:dyDescent="0.3">
      <c r="A278" t="s">
        <v>231</v>
      </c>
      <c r="B278" t="s">
        <v>139</v>
      </c>
      <c r="C278" t="s">
        <v>9</v>
      </c>
      <c r="D278">
        <v>25</v>
      </c>
      <c r="E278">
        <v>76</v>
      </c>
      <c r="F278">
        <v>2</v>
      </c>
      <c r="G278">
        <v>0</v>
      </c>
      <c r="H278">
        <v>0</v>
      </c>
      <c r="I278" t="s">
        <v>21</v>
      </c>
      <c r="J278">
        <v>950</v>
      </c>
      <c r="K278">
        <v>1</v>
      </c>
      <c r="L278">
        <v>2</v>
      </c>
      <c r="M278">
        <v>-1</v>
      </c>
      <c r="N278">
        <v>125</v>
      </c>
      <c r="O278">
        <v>14</v>
      </c>
      <c r="P278">
        <v>2.5500000000000001E-6</v>
      </c>
      <c r="Q278">
        <v>600</v>
      </c>
      <c r="R278">
        <v>6.61</v>
      </c>
      <c r="S278">
        <v>0</v>
      </c>
      <c r="T278">
        <v>0</v>
      </c>
      <c r="U278">
        <v>0</v>
      </c>
      <c r="V278">
        <v>0</v>
      </c>
      <c r="W278">
        <v>4.2300000000000004</v>
      </c>
      <c r="X278">
        <v>0</v>
      </c>
      <c r="Y278">
        <v>1.18</v>
      </c>
      <c r="Z278">
        <v>0.13</v>
      </c>
      <c r="AA278">
        <v>2.5999999999999999E-2</v>
      </c>
      <c r="AB278">
        <v>1.0999999999999999E-2</v>
      </c>
      <c r="AC278">
        <v>3.0000000000000001E-3</v>
      </c>
    </row>
    <row r="279" spans="1:29" x14ac:dyDescent="0.3">
      <c r="A279" t="s">
        <v>232</v>
      </c>
      <c r="B279" t="s">
        <v>139</v>
      </c>
      <c r="C279" t="s">
        <v>9</v>
      </c>
      <c r="D279">
        <v>25</v>
      </c>
      <c r="E279">
        <v>76</v>
      </c>
      <c r="F279">
        <v>2</v>
      </c>
      <c r="G279">
        <v>0</v>
      </c>
      <c r="H279">
        <v>0</v>
      </c>
      <c r="I279" t="s">
        <v>21</v>
      </c>
      <c r="J279">
        <v>0</v>
      </c>
      <c r="K279">
        <v>0</v>
      </c>
      <c r="L279">
        <v>2</v>
      </c>
      <c r="M279">
        <v>-1</v>
      </c>
      <c r="N279">
        <v>125</v>
      </c>
      <c r="O279">
        <v>14</v>
      </c>
      <c r="P279">
        <v>2.5000000000000002E-6</v>
      </c>
      <c r="Q279">
        <v>600</v>
      </c>
      <c r="R279">
        <v>6.61</v>
      </c>
      <c r="S279">
        <v>0</v>
      </c>
      <c r="T279">
        <v>0</v>
      </c>
      <c r="U279">
        <v>0</v>
      </c>
      <c r="V279">
        <v>0</v>
      </c>
      <c r="W279">
        <v>4.2300000000000004</v>
      </c>
      <c r="X279">
        <v>0</v>
      </c>
      <c r="Y279">
        <v>1.18</v>
      </c>
      <c r="Z279">
        <v>0.13</v>
      </c>
      <c r="AA279">
        <v>2.5999999999999999E-2</v>
      </c>
      <c r="AB279">
        <v>1.0999999999999999E-2</v>
      </c>
      <c r="AC279">
        <v>3.0000000000000001E-3</v>
      </c>
    </row>
    <row r="280" spans="1:29" x14ac:dyDescent="0.3">
      <c r="A280" t="s">
        <v>233</v>
      </c>
      <c r="B280" t="s">
        <v>139</v>
      </c>
      <c r="C280" t="s">
        <v>9</v>
      </c>
      <c r="D280">
        <v>25</v>
      </c>
      <c r="E280">
        <v>76</v>
      </c>
      <c r="F280">
        <v>2</v>
      </c>
      <c r="G280">
        <v>950</v>
      </c>
      <c r="H280">
        <v>1</v>
      </c>
      <c r="I280" t="s">
        <v>21</v>
      </c>
      <c r="J280">
        <v>530</v>
      </c>
      <c r="K280">
        <v>6</v>
      </c>
      <c r="L280">
        <v>2</v>
      </c>
      <c r="M280">
        <v>-1</v>
      </c>
      <c r="N280">
        <v>450</v>
      </c>
      <c r="O280">
        <v>16</v>
      </c>
      <c r="P280">
        <v>3.5700000000000001E-6</v>
      </c>
      <c r="Q280">
        <v>550</v>
      </c>
      <c r="R280">
        <v>6.29</v>
      </c>
      <c r="S280">
        <v>0</v>
      </c>
      <c r="T280">
        <v>1.68</v>
      </c>
      <c r="U280">
        <v>0</v>
      </c>
      <c r="V280">
        <v>3.38</v>
      </c>
      <c r="W280">
        <v>0</v>
      </c>
      <c r="X280">
        <v>0.24</v>
      </c>
      <c r="Y280">
        <v>0.05</v>
      </c>
      <c r="Z280">
        <v>0.03</v>
      </c>
      <c r="AA280">
        <v>0.01</v>
      </c>
      <c r="AB280">
        <v>0.05</v>
      </c>
      <c r="AC280">
        <v>0.01</v>
      </c>
    </row>
    <row r="281" spans="1:29" x14ac:dyDescent="0.3">
      <c r="A281" t="s">
        <v>234</v>
      </c>
      <c r="B281" t="s">
        <v>139</v>
      </c>
      <c r="C281" t="s">
        <v>9</v>
      </c>
      <c r="D281">
        <v>25</v>
      </c>
      <c r="E281">
        <v>76</v>
      </c>
      <c r="F281">
        <v>2</v>
      </c>
      <c r="G281">
        <v>950</v>
      </c>
      <c r="H281">
        <v>1</v>
      </c>
      <c r="I281" t="s">
        <v>21</v>
      </c>
      <c r="J281">
        <v>530</v>
      </c>
      <c r="K281">
        <v>6</v>
      </c>
      <c r="L281">
        <v>2</v>
      </c>
      <c r="M281">
        <v>-1</v>
      </c>
      <c r="N281">
        <v>400</v>
      </c>
      <c r="O281">
        <v>17</v>
      </c>
      <c r="P281">
        <v>2.9799999999999998E-6</v>
      </c>
      <c r="Q281">
        <v>550</v>
      </c>
      <c r="R281">
        <v>6.29</v>
      </c>
      <c r="S281">
        <v>0</v>
      </c>
      <c r="T281">
        <v>1.68</v>
      </c>
      <c r="U281">
        <v>0</v>
      </c>
      <c r="V281">
        <v>3.38</v>
      </c>
      <c r="W281">
        <v>0</v>
      </c>
      <c r="X281">
        <v>0.24</v>
      </c>
      <c r="Y281">
        <v>0.05</v>
      </c>
      <c r="Z281">
        <v>0.03</v>
      </c>
      <c r="AA281">
        <v>0.01</v>
      </c>
      <c r="AB281">
        <v>0.05</v>
      </c>
      <c r="AC281">
        <v>0.01</v>
      </c>
    </row>
    <row r="282" spans="1:29" x14ac:dyDescent="0.3">
      <c r="A282" t="s">
        <v>235</v>
      </c>
      <c r="B282" t="s">
        <v>139</v>
      </c>
      <c r="C282" t="s">
        <v>9</v>
      </c>
      <c r="D282">
        <v>25</v>
      </c>
      <c r="E282">
        <v>76</v>
      </c>
      <c r="F282">
        <v>2</v>
      </c>
      <c r="G282">
        <v>1050</v>
      </c>
      <c r="H282">
        <v>0.5</v>
      </c>
      <c r="I282" t="s">
        <v>21</v>
      </c>
      <c r="J282">
        <v>700</v>
      </c>
      <c r="K282">
        <v>2</v>
      </c>
      <c r="L282">
        <v>2</v>
      </c>
      <c r="M282">
        <v>-1</v>
      </c>
      <c r="N282">
        <v>310</v>
      </c>
      <c r="O282">
        <v>18.489999999999998</v>
      </c>
      <c r="P282">
        <v>0</v>
      </c>
      <c r="Q282">
        <v>600</v>
      </c>
      <c r="R282">
        <v>5.7</v>
      </c>
      <c r="S282">
        <v>4.8</v>
      </c>
      <c r="T282">
        <v>2.2000000000000002</v>
      </c>
      <c r="U282">
        <v>0.69</v>
      </c>
      <c r="V282">
        <v>1</v>
      </c>
      <c r="W282">
        <v>0</v>
      </c>
      <c r="X282">
        <v>0.31</v>
      </c>
      <c r="Y282">
        <v>0</v>
      </c>
      <c r="Z282">
        <v>0</v>
      </c>
      <c r="AA282">
        <v>0.04</v>
      </c>
      <c r="AB282">
        <v>0</v>
      </c>
      <c r="AC282">
        <v>0</v>
      </c>
    </row>
    <row r="283" spans="1:29" x14ac:dyDescent="0.3">
      <c r="A283" t="s">
        <v>236</v>
      </c>
      <c r="B283" t="s">
        <v>139</v>
      </c>
      <c r="C283" t="s">
        <v>9</v>
      </c>
      <c r="D283">
        <v>25</v>
      </c>
      <c r="E283">
        <v>76</v>
      </c>
      <c r="F283">
        <v>2</v>
      </c>
      <c r="G283">
        <v>0</v>
      </c>
      <c r="H283">
        <v>0</v>
      </c>
      <c r="I283" t="s">
        <v>21</v>
      </c>
      <c r="J283">
        <v>0</v>
      </c>
      <c r="K283">
        <v>0</v>
      </c>
      <c r="L283">
        <v>2</v>
      </c>
      <c r="M283">
        <v>-1</v>
      </c>
      <c r="N283">
        <v>312</v>
      </c>
      <c r="O283">
        <v>20</v>
      </c>
      <c r="P283">
        <v>3.2000000000000001E-7</v>
      </c>
      <c r="Q283">
        <v>500</v>
      </c>
      <c r="R283">
        <v>6.61</v>
      </c>
      <c r="S283">
        <v>0</v>
      </c>
      <c r="T283">
        <v>0</v>
      </c>
      <c r="U283">
        <v>0</v>
      </c>
      <c r="V283">
        <v>0</v>
      </c>
      <c r="W283">
        <v>4.2300000000000004</v>
      </c>
      <c r="X283">
        <v>0</v>
      </c>
      <c r="Y283">
        <v>1.18</v>
      </c>
      <c r="Z283">
        <v>0.13</v>
      </c>
      <c r="AA283">
        <v>2.5999999999999999E-2</v>
      </c>
      <c r="AB283">
        <v>1.0999999999999999E-2</v>
      </c>
      <c r="AC283">
        <v>3.0000000000000001E-3</v>
      </c>
    </row>
    <row r="284" spans="1:29" x14ac:dyDescent="0.3">
      <c r="A284" t="s">
        <v>237</v>
      </c>
      <c r="B284" t="s">
        <v>139</v>
      </c>
      <c r="C284" t="s">
        <v>9</v>
      </c>
      <c r="D284">
        <v>25</v>
      </c>
      <c r="E284">
        <v>76</v>
      </c>
      <c r="F284">
        <v>2</v>
      </c>
      <c r="G284">
        <v>950</v>
      </c>
      <c r="H284">
        <v>1</v>
      </c>
      <c r="I284" t="s">
        <v>21</v>
      </c>
      <c r="J284">
        <v>600</v>
      </c>
      <c r="K284">
        <v>24</v>
      </c>
      <c r="L284">
        <v>2</v>
      </c>
      <c r="M284">
        <v>-1</v>
      </c>
      <c r="N284">
        <v>125</v>
      </c>
      <c r="O284">
        <v>22.07</v>
      </c>
      <c r="P284">
        <v>2.0499999999999999E-6</v>
      </c>
      <c r="Q284">
        <v>600</v>
      </c>
      <c r="R284">
        <v>6.33</v>
      </c>
      <c r="S284">
        <v>0</v>
      </c>
      <c r="T284">
        <v>0</v>
      </c>
      <c r="U284">
        <v>0</v>
      </c>
      <c r="V284">
        <v>0</v>
      </c>
      <c r="W284">
        <v>4</v>
      </c>
      <c r="X284">
        <v>0</v>
      </c>
      <c r="Y284">
        <v>0.2</v>
      </c>
      <c r="Z284">
        <v>0.17</v>
      </c>
      <c r="AA284">
        <v>0.03</v>
      </c>
      <c r="AB284">
        <v>0.01</v>
      </c>
      <c r="AC284">
        <v>4.0000000000000001E-3</v>
      </c>
    </row>
    <row r="285" spans="1:29" x14ac:dyDescent="0.3">
      <c r="A285" t="s">
        <v>238</v>
      </c>
      <c r="B285" t="s">
        <v>139</v>
      </c>
      <c r="C285" t="s">
        <v>9</v>
      </c>
      <c r="D285">
        <v>25</v>
      </c>
      <c r="E285">
        <v>76</v>
      </c>
      <c r="F285">
        <v>2</v>
      </c>
      <c r="G285">
        <v>0</v>
      </c>
      <c r="H285">
        <v>0</v>
      </c>
      <c r="I285" t="s">
        <v>21</v>
      </c>
      <c r="J285">
        <v>1260</v>
      </c>
      <c r="K285">
        <v>4</v>
      </c>
      <c r="L285">
        <v>2</v>
      </c>
      <c r="M285">
        <v>-1</v>
      </c>
      <c r="N285">
        <v>150</v>
      </c>
      <c r="O285">
        <v>22.33</v>
      </c>
      <c r="P285">
        <v>4.8299999999999997E-7</v>
      </c>
      <c r="Q285">
        <v>750</v>
      </c>
      <c r="R285">
        <v>48</v>
      </c>
      <c r="S285">
        <v>0</v>
      </c>
      <c r="T285">
        <v>0</v>
      </c>
      <c r="U285">
        <v>2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</row>
    <row r="286" spans="1:29" x14ac:dyDescent="0.3">
      <c r="A286" t="s">
        <v>239</v>
      </c>
      <c r="B286" t="s">
        <v>139</v>
      </c>
      <c r="C286" t="s">
        <v>9</v>
      </c>
      <c r="D286">
        <v>25</v>
      </c>
      <c r="E286">
        <v>76</v>
      </c>
      <c r="F286">
        <v>2</v>
      </c>
      <c r="G286">
        <v>950</v>
      </c>
      <c r="H286">
        <v>1</v>
      </c>
      <c r="I286" t="s">
        <v>21</v>
      </c>
      <c r="J286">
        <v>530</v>
      </c>
      <c r="K286">
        <v>6</v>
      </c>
      <c r="L286">
        <v>2</v>
      </c>
      <c r="M286">
        <v>-1</v>
      </c>
      <c r="N286">
        <v>350</v>
      </c>
      <c r="O286">
        <v>24</v>
      </c>
      <c r="P286">
        <v>1.73E-6</v>
      </c>
      <c r="Q286">
        <v>550</v>
      </c>
      <c r="R286">
        <v>6.29</v>
      </c>
      <c r="S286">
        <v>0</v>
      </c>
      <c r="T286">
        <v>1.68</v>
      </c>
      <c r="U286">
        <v>0</v>
      </c>
      <c r="V286">
        <v>3.38</v>
      </c>
      <c r="W286">
        <v>0</v>
      </c>
      <c r="X286">
        <v>0.24</v>
      </c>
      <c r="Y286">
        <v>0.05</v>
      </c>
      <c r="Z286">
        <v>0.03</v>
      </c>
      <c r="AA286">
        <v>0.01</v>
      </c>
      <c r="AB286">
        <v>0.05</v>
      </c>
      <c r="AC286">
        <v>0.01</v>
      </c>
    </row>
    <row r="287" spans="1:29" x14ac:dyDescent="0.3">
      <c r="A287" t="s">
        <v>240</v>
      </c>
      <c r="B287" t="s">
        <v>139</v>
      </c>
      <c r="C287" t="s">
        <v>9</v>
      </c>
      <c r="D287">
        <v>25</v>
      </c>
      <c r="E287">
        <v>76</v>
      </c>
      <c r="F287">
        <v>2</v>
      </c>
      <c r="G287">
        <v>1050</v>
      </c>
      <c r="H287">
        <v>0.5</v>
      </c>
      <c r="I287" t="s">
        <v>21</v>
      </c>
      <c r="J287">
        <v>950</v>
      </c>
      <c r="K287">
        <v>1</v>
      </c>
      <c r="L287">
        <v>2</v>
      </c>
      <c r="M287">
        <v>-1</v>
      </c>
      <c r="N287">
        <v>403</v>
      </c>
      <c r="O287">
        <v>24.76</v>
      </c>
      <c r="P287">
        <v>3.9799999999999999E-7</v>
      </c>
      <c r="Q287">
        <v>500</v>
      </c>
      <c r="R287">
        <v>6.61</v>
      </c>
      <c r="S287">
        <v>0</v>
      </c>
      <c r="T287">
        <v>0</v>
      </c>
      <c r="U287">
        <v>0</v>
      </c>
      <c r="V287">
        <v>0</v>
      </c>
      <c r="W287">
        <v>4.2300000000000004</v>
      </c>
      <c r="X287">
        <v>0</v>
      </c>
      <c r="Y287">
        <v>1.18</v>
      </c>
      <c r="Z287">
        <v>0.13</v>
      </c>
      <c r="AA287">
        <v>2.5999999999999999E-2</v>
      </c>
      <c r="AB287">
        <v>1.0999999999999999E-2</v>
      </c>
      <c r="AC287">
        <v>3.0000000000000001E-3</v>
      </c>
    </row>
    <row r="288" spans="1:29" x14ac:dyDescent="0.3">
      <c r="A288" t="s">
        <v>241</v>
      </c>
      <c r="B288" t="s">
        <v>139</v>
      </c>
      <c r="C288" t="s">
        <v>9</v>
      </c>
      <c r="D288">
        <v>25</v>
      </c>
      <c r="E288">
        <v>76</v>
      </c>
      <c r="F288">
        <v>2</v>
      </c>
      <c r="G288">
        <v>0</v>
      </c>
      <c r="H288">
        <v>0</v>
      </c>
      <c r="I288" t="s">
        <v>21</v>
      </c>
      <c r="J288">
        <v>950</v>
      </c>
      <c r="K288">
        <v>1</v>
      </c>
      <c r="L288">
        <v>2</v>
      </c>
      <c r="M288">
        <v>-1</v>
      </c>
      <c r="N288">
        <v>361</v>
      </c>
      <c r="O288">
        <v>28.19</v>
      </c>
      <c r="P288">
        <v>9.64E-7</v>
      </c>
      <c r="Q288">
        <v>500</v>
      </c>
      <c r="R288">
        <v>6.61</v>
      </c>
      <c r="S288">
        <v>0</v>
      </c>
      <c r="T288">
        <v>0</v>
      </c>
      <c r="U288">
        <v>0</v>
      </c>
      <c r="V288">
        <v>0</v>
      </c>
      <c r="W288">
        <v>4.2300000000000004</v>
      </c>
      <c r="X288">
        <v>0</v>
      </c>
      <c r="Y288">
        <v>1.18</v>
      </c>
      <c r="Z288">
        <v>0.13</v>
      </c>
      <c r="AA288">
        <v>2.5999999999999999E-2</v>
      </c>
      <c r="AB288">
        <v>1.0999999999999999E-2</v>
      </c>
      <c r="AC288">
        <v>3.0000000000000001E-3</v>
      </c>
    </row>
    <row r="289" spans="1:29" x14ac:dyDescent="0.3">
      <c r="A289" t="s">
        <v>242</v>
      </c>
      <c r="B289" t="s">
        <v>139</v>
      </c>
      <c r="C289" t="s">
        <v>9</v>
      </c>
      <c r="D289">
        <v>25</v>
      </c>
      <c r="E289">
        <v>76</v>
      </c>
      <c r="F289">
        <v>2</v>
      </c>
      <c r="G289">
        <v>950</v>
      </c>
      <c r="H289">
        <v>1</v>
      </c>
      <c r="I289" t="s">
        <v>21</v>
      </c>
      <c r="J289">
        <v>530</v>
      </c>
      <c r="K289">
        <v>6</v>
      </c>
      <c r="L289">
        <v>2</v>
      </c>
      <c r="M289">
        <v>-1</v>
      </c>
      <c r="N289">
        <v>300</v>
      </c>
      <c r="O289">
        <v>30</v>
      </c>
      <c r="P289">
        <v>7.8100000000000002E-7</v>
      </c>
      <c r="Q289">
        <v>550</v>
      </c>
      <c r="R289">
        <v>6.29</v>
      </c>
      <c r="S289">
        <v>0</v>
      </c>
      <c r="T289">
        <v>1.68</v>
      </c>
      <c r="U289">
        <v>0</v>
      </c>
      <c r="V289">
        <v>3.38</v>
      </c>
      <c r="W289">
        <v>0</v>
      </c>
      <c r="X289">
        <v>0.24</v>
      </c>
      <c r="Y289">
        <v>0.05</v>
      </c>
      <c r="Z289">
        <v>0.03</v>
      </c>
      <c r="AA289">
        <v>0.01</v>
      </c>
      <c r="AB289">
        <v>0.05</v>
      </c>
      <c r="AC289">
        <v>0.01</v>
      </c>
    </row>
    <row r="290" spans="1:29" x14ac:dyDescent="0.3">
      <c r="A290" t="s">
        <v>243</v>
      </c>
      <c r="B290" t="s">
        <v>139</v>
      </c>
      <c r="C290" t="s">
        <v>9</v>
      </c>
      <c r="D290">
        <v>25</v>
      </c>
      <c r="E290">
        <v>76</v>
      </c>
      <c r="F290">
        <v>2</v>
      </c>
      <c r="G290">
        <v>0</v>
      </c>
      <c r="H290">
        <v>0</v>
      </c>
      <c r="I290" t="s">
        <v>21</v>
      </c>
      <c r="J290">
        <v>1050</v>
      </c>
      <c r="K290">
        <v>0.5</v>
      </c>
      <c r="L290">
        <v>2</v>
      </c>
      <c r="M290">
        <v>-1</v>
      </c>
      <c r="N290">
        <v>125</v>
      </c>
      <c r="O290">
        <v>32.520000000000003</v>
      </c>
      <c r="P290">
        <v>1.66E-6</v>
      </c>
      <c r="Q290">
        <v>600</v>
      </c>
      <c r="R290">
        <v>6.33</v>
      </c>
      <c r="S290">
        <v>0</v>
      </c>
      <c r="T290">
        <v>0</v>
      </c>
      <c r="U290">
        <v>0</v>
      </c>
      <c r="V290">
        <v>0</v>
      </c>
      <c r="W290">
        <v>4</v>
      </c>
      <c r="X290">
        <v>0</v>
      </c>
      <c r="Y290">
        <v>0.2</v>
      </c>
      <c r="Z290">
        <v>0.17</v>
      </c>
      <c r="AA290">
        <v>0.03</v>
      </c>
      <c r="AB290">
        <v>0.01</v>
      </c>
      <c r="AC290">
        <v>4.0000000000000001E-3</v>
      </c>
    </row>
    <row r="291" spans="1:29" x14ac:dyDescent="0.3">
      <c r="A291" t="s">
        <v>244</v>
      </c>
      <c r="B291" t="s">
        <v>139</v>
      </c>
      <c r="C291" t="s">
        <v>9</v>
      </c>
      <c r="D291">
        <v>25</v>
      </c>
      <c r="E291">
        <v>76</v>
      </c>
      <c r="F291">
        <v>2</v>
      </c>
      <c r="G291">
        <v>0</v>
      </c>
      <c r="H291">
        <v>0</v>
      </c>
      <c r="I291" t="s">
        <v>21</v>
      </c>
      <c r="J291">
        <v>720</v>
      </c>
      <c r="K291">
        <v>0</v>
      </c>
      <c r="L291">
        <v>2</v>
      </c>
      <c r="M291">
        <v>-1</v>
      </c>
      <c r="N291">
        <v>489</v>
      </c>
      <c r="O291">
        <v>36</v>
      </c>
      <c r="P291">
        <v>9.6899999999999997E-5</v>
      </c>
      <c r="Q291">
        <v>455</v>
      </c>
      <c r="R291">
        <v>6.51</v>
      </c>
      <c r="S291">
        <v>0</v>
      </c>
      <c r="T291">
        <v>0</v>
      </c>
      <c r="U291">
        <v>0</v>
      </c>
      <c r="V291">
        <v>0</v>
      </c>
      <c r="W291">
        <v>4.08</v>
      </c>
      <c r="X291">
        <v>0</v>
      </c>
      <c r="Y291">
        <v>0.16</v>
      </c>
      <c r="Z291">
        <v>0.19</v>
      </c>
      <c r="AA291">
        <v>0.01</v>
      </c>
      <c r="AB291">
        <v>5.0000000000000001E-3</v>
      </c>
      <c r="AC291">
        <v>1.6000000000000001E-3</v>
      </c>
    </row>
    <row r="292" spans="1:29" x14ac:dyDescent="0.3">
      <c r="A292" t="s">
        <v>245</v>
      </c>
      <c r="B292" t="s">
        <v>139</v>
      </c>
      <c r="C292" t="s">
        <v>9</v>
      </c>
      <c r="D292">
        <v>25</v>
      </c>
      <c r="E292">
        <v>76</v>
      </c>
      <c r="F292">
        <v>2</v>
      </c>
      <c r="G292">
        <v>1050</v>
      </c>
      <c r="H292">
        <v>0.5</v>
      </c>
      <c r="I292" t="s">
        <v>21</v>
      </c>
      <c r="J292">
        <v>700</v>
      </c>
      <c r="K292">
        <v>2</v>
      </c>
      <c r="L292">
        <v>2</v>
      </c>
      <c r="M292">
        <v>-1</v>
      </c>
      <c r="N292">
        <v>310</v>
      </c>
      <c r="O292">
        <v>37.17</v>
      </c>
      <c r="P292">
        <v>0</v>
      </c>
      <c r="Q292">
        <v>600</v>
      </c>
      <c r="R292">
        <v>5.7</v>
      </c>
      <c r="S292">
        <v>4.8</v>
      </c>
      <c r="T292">
        <v>2.2000000000000002</v>
      </c>
      <c r="U292">
        <v>0.69</v>
      </c>
      <c r="V292">
        <v>1</v>
      </c>
      <c r="W292">
        <v>0</v>
      </c>
      <c r="X292">
        <v>0.31</v>
      </c>
      <c r="Y292">
        <v>0</v>
      </c>
      <c r="Z292">
        <v>0</v>
      </c>
      <c r="AA292">
        <v>0.04</v>
      </c>
      <c r="AB292">
        <v>0</v>
      </c>
      <c r="AC292">
        <v>0</v>
      </c>
    </row>
    <row r="293" spans="1:29" x14ac:dyDescent="0.3">
      <c r="A293" t="s">
        <v>246</v>
      </c>
      <c r="B293" t="s">
        <v>139</v>
      </c>
      <c r="C293" t="s">
        <v>9</v>
      </c>
      <c r="D293">
        <v>25</v>
      </c>
      <c r="E293">
        <v>76</v>
      </c>
      <c r="F293">
        <v>2</v>
      </c>
      <c r="G293">
        <v>0</v>
      </c>
      <c r="H293">
        <v>0</v>
      </c>
      <c r="I293" t="s">
        <v>21</v>
      </c>
      <c r="J293">
        <v>950</v>
      </c>
      <c r="K293">
        <v>1</v>
      </c>
      <c r="L293">
        <v>2</v>
      </c>
      <c r="M293">
        <v>-1</v>
      </c>
      <c r="N293">
        <v>97</v>
      </c>
      <c r="O293">
        <v>40.130000000000003</v>
      </c>
      <c r="P293">
        <v>9.8100000000000001E-7</v>
      </c>
      <c r="Q293">
        <v>600</v>
      </c>
      <c r="R293">
        <v>6.61</v>
      </c>
      <c r="S293">
        <v>0</v>
      </c>
      <c r="T293">
        <v>0</v>
      </c>
      <c r="U293">
        <v>0</v>
      </c>
      <c r="V293">
        <v>0</v>
      </c>
      <c r="W293">
        <v>4.2300000000000004</v>
      </c>
      <c r="X293">
        <v>0</v>
      </c>
      <c r="Y293">
        <v>1.18</v>
      </c>
      <c r="Z293">
        <v>0.13</v>
      </c>
      <c r="AA293">
        <v>2.5999999999999999E-2</v>
      </c>
      <c r="AB293">
        <v>1.0999999999999999E-2</v>
      </c>
      <c r="AC293">
        <v>3.0000000000000001E-3</v>
      </c>
    </row>
    <row r="294" spans="1:29" x14ac:dyDescent="0.3">
      <c r="A294" t="s">
        <v>247</v>
      </c>
      <c r="B294" t="s">
        <v>139</v>
      </c>
      <c r="C294" t="s">
        <v>9</v>
      </c>
      <c r="D294">
        <v>25</v>
      </c>
      <c r="E294">
        <v>76</v>
      </c>
      <c r="F294">
        <v>2</v>
      </c>
      <c r="G294">
        <v>0</v>
      </c>
      <c r="H294">
        <v>0</v>
      </c>
      <c r="I294" t="s">
        <v>21</v>
      </c>
      <c r="J294">
        <v>900</v>
      </c>
      <c r="K294">
        <v>2</v>
      </c>
      <c r="L294">
        <v>2</v>
      </c>
      <c r="M294">
        <v>-1</v>
      </c>
      <c r="N294">
        <v>300</v>
      </c>
      <c r="O294">
        <v>46.66</v>
      </c>
      <c r="P294">
        <v>2.7000000000000001E-7</v>
      </c>
      <c r="Q294">
        <v>500</v>
      </c>
      <c r="R294">
        <v>6</v>
      </c>
      <c r="S294">
        <v>0</v>
      </c>
      <c r="T294">
        <v>0</v>
      </c>
      <c r="U294">
        <v>0</v>
      </c>
      <c r="V294">
        <v>0</v>
      </c>
      <c r="W294">
        <v>4</v>
      </c>
      <c r="X294">
        <v>0</v>
      </c>
      <c r="Y294">
        <v>0.25</v>
      </c>
      <c r="Z294">
        <v>0.2</v>
      </c>
      <c r="AA294">
        <v>0.08</v>
      </c>
      <c r="AB294">
        <v>0.05</v>
      </c>
      <c r="AC294">
        <v>0.01</v>
      </c>
    </row>
    <row r="295" spans="1:29" x14ac:dyDescent="0.3">
      <c r="A295" t="s">
        <v>248</v>
      </c>
      <c r="B295" t="s">
        <v>139</v>
      </c>
      <c r="C295" t="s">
        <v>9</v>
      </c>
      <c r="D295">
        <v>25</v>
      </c>
      <c r="E295">
        <v>76</v>
      </c>
      <c r="F295">
        <v>2</v>
      </c>
      <c r="G295">
        <v>0</v>
      </c>
      <c r="H295">
        <v>0</v>
      </c>
      <c r="I295" t="s">
        <v>21</v>
      </c>
      <c r="J295">
        <v>1260</v>
      </c>
      <c r="K295">
        <v>4</v>
      </c>
      <c r="L295">
        <v>2</v>
      </c>
      <c r="M295">
        <v>-1</v>
      </c>
      <c r="N295">
        <v>175</v>
      </c>
      <c r="O295">
        <v>46.82</v>
      </c>
      <c r="P295">
        <v>5.1799999999999995E-7</v>
      </c>
      <c r="Q295">
        <v>750</v>
      </c>
      <c r="R295">
        <v>48</v>
      </c>
      <c r="S295">
        <v>0</v>
      </c>
      <c r="T295">
        <v>0</v>
      </c>
      <c r="U295">
        <v>2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</row>
    <row r="296" spans="1:29" x14ac:dyDescent="0.3">
      <c r="A296" t="s">
        <v>249</v>
      </c>
      <c r="B296" t="s">
        <v>139</v>
      </c>
      <c r="C296" t="s">
        <v>9</v>
      </c>
      <c r="D296">
        <v>25</v>
      </c>
      <c r="E296">
        <v>76</v>
      </c>
      <c r="F296">
        <v>2</v>
      </c>
      <c r="G296">
        <v>1040</v>
      </c>
      <c r="H296">
        <v>1</v>
      </c>
      <c r="I296" t="s">
        <v>21</v>
      </c>
      <c r="J296">
        <v>0</v>
      </c>
      <c r="K296">
        <v>0</v>
      </c>
      <c r="L296">
        <v>2</v>
      </c>
      <c r="M296">
        <v>-1</v>
      </c>
      <c r="N296">
        <v>100</v>
      </c>
      <c r="O296">
        <v>47.73</v>
      </c>
      <c r="P296">
        <v>4.1999999999999999E-8</v>
      </c>
      <c r="Q296">
        <v>500</v>
      </c>
      <c r="R296">
        <v>5.5</v>
      </c>
      <c r="S296">
        <v>0</v>
      </c>
      <c r="T296">
        <v>0</v>
      </c>
      <c r="U296">
        <v>0</v>
      </c>
      <c r="V296">
        <v>0</v>
      </c>
      <c r="W296">
        <v>3.87</v>
      </c>
      <c r="X296">
        <v>0</v>
      </c>
      <c r="Y296">
        <v>0.22</v>
      </c>
      <c r="Z296">
        <v>0.2</v>
      </c>
      <c r="AA296">
        <v>0.08</v>
      </c>
      <c r="AB296">
        <v>0.05</v>
      </c>
      <c r="AC296">
        <v>0.4</v>
      </c>
    </row>
    <row r="297" spans="1:29" x14ac:dyDescent="0.3">
      <c r="A297" t="s">
        <v>250</v>
      </c>
      <c r="B297" t="s">
        <v>139</v>
      </c>
      <c r="C297" t="s">
        <v>9</v>
      </c>
      <c r="D297">
        <v>25</v>
      </c>
      <c r="E297">
        <v>76</v>
      </c>
      <c r="F297">
        <v>2</v>
      </c>
      <c r="G297">
        <v>1040</v>
      </c>
      <c r="H297">
        <v>1</v>
      </c>
      <c r="I297" t="s">
        <v>21</v>
      </c>
      <c r="J297">
        <v>0</v>
      </c>
      <c r="K297">
        <v>0</v>
      </c>
      <c r="L297">
        <v>2</v>
      </c>
      <c r="M297">
        <v>-1</v>
      </c>
      <c r="N297">
        <v>140</v>
      </c>
      <c r="O297">
        <v>47.81</v>
      </c>
      <c r="P297">
        <v>2.1199999999999999E-7</v>
      </c>
      <c r="Q297">
        <v>500</v>
      </c>
      <c r="R297">
        <v>5.5</v>
      </c>
      <c r="S297">
        <v>0</v>
      </c>
      <c r="T297">
        <v>0</v>
      </c>
      <c r="U297">
        <v>0</v>
      </c>
      <c r="V297">
        <v>0</v>
      </c>
      <c r="W297">
        <v>3.87</v>
      </c>
      <c r="X297">
        <v>0</v>
      </c>
      <c r="Y297">
        <v>0.22</v>
      </c>
      <c r="Z297">
        <v>0.2</v>
      </c>
      <c r="AA297">
        <v>0.08</v>
      </c>
      <c r="AB297">
        <v>0.05</v>
      </c>
      <c r="AC297">
        <v>0.4</v>
      </c>
    </row>
    <row r="298" spans="1:29" x14ac:dyDescent="0.3">
      <c r="A298" t="s">
        <v>251</v>
      </c>
      <c r="B298" t="s">
        <v>139</v>
      </c>
      <c r="C298" t="s">
        <v>9</v>
      </c>
      <c r="D298">
        <v>25</v>
      </c>
      <c r="E298">
        <v>76</v>
      </c>
      <c r="F298">
        <v>2</v>
      </c>
      <c r="G298">
        <v>1040</v>
      </c>
      <c r="H298">
        <v>1</v>
      </c>
      <c r="I298" t="s">
        <v>21</v>
      </c>
      <c r="J298">
        <v>0</v>
      </c>
      <c r="K298">
        <v>0</v>
      </c>
      <c r="L298">
        <v>2</v>
      </c>
      <c r="M298">
        <v>-1</v>
      </c>
      <c r="N298">
        <v>80</v>
      </c>
      <c r="O298">
        <v>47.81</v>
      </c>
      <c r="P298">
        <v>1.8399999999999999E-8</v>
      </c>
      <c r="Q298">
        <v>500</v>
      </c>
      <c r="R298">
        <v>5.5</v>
      </c>
      <c r="S298">
        <v>0</v>
      </c>
      <c r="T298">
        <v>0</v>
      </c>
      <c r="U298">
        <v>0</v>
      </c>
      <c r="V298">
        <v>0</v>
      </c>
      <c r="W298">
        <v>3.87</v>
      </c>
      <c r="X298">
        <v>0</v>
      </c>
      <c r="Y298">
        <v>0.22</v>
      </c>
      <c r="Z298">
        <v>0.2</v>
      </c>
      <c r="AA298">
        <v>0.08</v>
      </c>
      <c r="AB298">
        <v>0.05</v>
      </c>
      <c r="AC298">
        <v>0.4</v>
      </c>
    </row>
    <row r="299" spans="1:29" x14ac:dyDescent="0.3">
      <c r="A299" t="s">
        <v>252</v>
      </c>
      <c r="B299" t="s">
        <v>139</v>
      </c>
      <c r="C299" t="s">
        <v>9</v>
      </c>
      <c r="D299">
        <v>25</v>
      </c>
      <c r="E299">
        <v>76</v>
      </c>
      <c r="F299">
        <v>2</v>
      </c>
      <c r="G299">
        <v>1040</v>
      </c>
      <c r="H299">
        <v>1</v>
      </c>
      <c r="I299" t="s">
        <v>21</v>
      </c>
      <c r="J299">
        <v>0</v>
      </c>
      <c r="K299">
        <v>0</v>
      </c>
      <c r="L299">
        <v>2</v>
      </c>
      <c r="M299">
        <v>-1</v>
      </c>
      <c r="N299">
        <v>100</v>
      </c>
      <c r="O299">
        <v>47.9</v>
      </c>
      <c r="P299">
        <v>8.5500000000000005E-8</v>
      </c>
      <c r="Q299">
        <v>500</v>
      </c>
      <c r="R299">
        <v>5.5</v>
      </c>
      <c r="S299">
        <v>0</v>
      </c>
      <c r="T299">
        <v>0</v>
      </c>
      <c r="U299">
        <v>0</v>
      </c>
      <c r="V299">
        <v>0</v>
      </c>
      <c r="W299">
        <v>3.87</v>
      </c>
      <c r="X299">
        <v>0</v>
      </c>
      <c r="Y299">
        <v>0.22</v>
      </c>
      <c r="Z299">
        <v>0.2</v>
      </c>
      <c r="AA299">
        <v>0.08</v>
      </c>
      <c r="AB299">
        <v>0.05</v>
      </c>
      <c r="AC299">
        <v>0.4</v>
      </c>
    </row>
    <row r="300" spans="1:29" x14ac:dyDescent="0.3">
      <c r="A300" t="s">
        <v>253</v>
      </c>
      <c r="B300" t="s">
        <v>139</v>
      </c>
      <c r="C300" t="s">
        <v>9</v>
      </c>
      <c r="D300">
        <v>25</v>
      </c>
      <c r="E300">
        <v>76</v>
      </c>
      <c r="F300">
        <v>2</v>
      </c>
      <c r="G300">
        <v>1040</v>
      </c>
      <c r="H300">
        <v>1</v>
      </c>
      <c r="I300" t="s">
        <v>21</v>
      </c>
      <c r="J300">
        <v>0</v>
      </c>
      <c r="K300">
        <v>0</v>
      </c>
      <c r="L300">
        <v>2</v>
      </c>
      <c r="M300">
        <v>-1</v>
      </c>
      <c r="N300">
        <v>120</v>
      </c>
      <c r="O300">
        <v>47.98</v>
      </c>
      <c r="P300">
        <v>1.49E-7</v>
      </c>
      <c r="Q300">
        <v>500</v>
      </c>
      <c r="R300">
        <v>5.5</v>
      </c>
      <c r="S300">
        <v>0</v>
      </c>
      <c r="T300">
        <v>0</v>
      </c>
      <c r="U300">
        <v>0</v>
      </c>
      <c r="V300">
        <v>0</v>
      </c>
      <c r="W300">
        <v>3.87</v>
      </c>
      <c r="X300">
        <v>0</v>
      </c>
      <c r="Y300">
        <v>0.22</v>
      </c>
      <c r="Z300">
        <v>0.2</v>
      </c>
      <c r="AA300">
        <v>0.08</v>
      </c>
      <c r="AB300">
        <v>0.05</v>
      </c>
      <c r="AC300">
        <v>0.4</v>
      </c>
    </row>
    <row r="301" spans="1:29" x14ac:dyDescent="0.3">
      <c r="A301" t="s">
        <v>254</v>
      </c>
      <c r="B301" t="s">
        <v>139</v>
      </c>
      <c r="C301" t="s">
        <v>9</v>
      </c>
      <c r="D301">
        <v>25</v>
      </c>
      <c r="E301">
        <v>76</v>
      </c>
      <c r="F301">
        <v>2</v>
      </c>
      <c r="G301">
        <v>1040</v>
      </c>
      <c r="H301">
        <v>1</v>
      </c>
      <c r="I301" t="s">
        <v>21</v>
      </c>
      <c r="J301">
        <v>0</v>
      </c>
      <c r="K301">
        <v>0</v>
      </c>
      <c r="L301">
        <v>2</v>
      </c>
      <c r="M301">
        <v>-1</v>
      </c>
      <c r="N301">
        <v>140</v>
      </c>
      <c r="O301">
        <v>47.99</v>
      </c>
      <c r="P301">
        <v>1.2100000000000001E-7</v>
      </c>
      <c r="Q301">
        <v>500</v>
      </c>
      <c r="R301">
        <v>5.5</v>
      </c>
      <c r="S301">
        <v>0</v>
      </c>
      <c r="T301">
        <v>0</v>
      </c>
      <c r="U301">
        <v>0</v>
      </c>
      <c r="V301">
        <v>0</v>
      </c>
      <c r="W301">
        <v>3.87</v>
      </c>
      <c r="X301">
        <v>0</v>
      </c>
      <c r="Y301">
        <v>0.22</v>
      </c>
      <c r="Z301">
        <v>0.2</v>
      </c>
      <c r="AA301">
        <v>0.08</v>
      </c>
      <c r="AB301">
        <v>0.05</v>
      </c>
      <c r="AC301">
        <v>0.4</v>
      </c>
    </row>
    <row r="302" spans="1:29" x14ac:dyDescent="0.3">
      <c r="A302" t="s">
        <v>255</v>
      </c>
      <c r="B302" t="s">
        <v>139</v>
      </c>
      <c r="C302" t="s">
        <v>9</v>
      </c>
      <c r="D302">
        <v>25</v>
      </c>
      <c r="E302">
        <v>76</v>
      </c>
      <c r="F302">
        <v>2</v>
      </c>
      <c r="G302">
        <v>1040</v>
      </c>
      <c r="H302">
        <v>1</v>
      </c>
      <c r="I302" t="s">
        <v>21</v>
      </c>
      <c r="J302">
        <v>0</v>
      </c>
      <c r="K302">
        <v>0</v>
      </c>
      <c r="L302">
        <v>2</v>
      </c>
      <c r="M302">
        <v>-1</v>
      </c>
      <c r="N302">
        <v>120</v>
      </c>
      <c r="O302">
        <v>48.07</v>
      </c>
      <c r="P302">
        <v>5.2700000000000002E-8</v>
      </c>
      <c r="Q302">
        <v>500</v>
      </c>
      <c r="R302">
        <v>5.5</v>
      </c>
      <c r="S302">
        <v>0</v>
      </c>
      <c r="T302">
        <v>0</v>
      </c>
      <c r="U302">
        <v>0</v>
      </c>
      <c r="V302">
        <v>0</v>
      </c>
      <c r="W302">
        <v>3.87</v>
      </c>
      <c r="X302">
        <v>0</v>
      </c>
      <c r="Y302">
        <v>0.22</v>
      </c>
      <c r="Z302">
        <v>0.2</v>
      </c>
      <c r="AA302">
        <v>0.08</v>
      </c>
      <c r="AB302">
        <v>0.05</v>
      </c>
      <c r="AC302">
        <v>0.4</v>
      </c>
    </row>
    <row r="303" spans="1:29" x14ac:dyDescent="0.3">
      <c r="A303" t="s">
        <v>256</v>
      </c>
      <c r="B303" t="s">
        <v>139</v>
      </c>
      <c r="C303" t="s">
        <v>9</v>
      </c>
      <c r="D303">
        <v>25</v>
      </c>
      <c r="E303">
        <v>76</v>
      </c>
      <c r="F303">
        <v>2</v>
      </c>
      <c r="G303">
        <v>1040</v>
      </c>
      <c r="H303">
        <v>1</v>
      </c>
      <c r="I303" t="s">
        <v>21</v>
      </c>
      <c r="J303">
        <v>0</v>
      </c>
      <c r="K303">
        <v>0</v>
      </c>
      <c r="L303">
        <v>2</v>
      </c>
      <c r="M303">
        <v>-1</v>
      </c>
      <c r="N303">
        <v>80</v>
      </c>
      <c r="O303">
        <v>49.24</v>
      </c>
      <c r="P303">
        <v>7.1200000000000002E-8</v>
      </c>
      <c r="Q303">
        <v>500</v>
      </c>
      <c r="R303">
        <v>5.5</v>
      </c>
      <c r="S303">
        <v>0</v>
      </c>
      <c r="T303">
        <v>0</v>
      </c>
      <c r="U303">
        <v>0</v>
      </c>
      <c r="V303">
        <v>0</v>
      </c>
      <c r="W303">
        <v>3.87</v>
      </c>
      <c r="X303">
        <v>0</v>
      </c>
      <c r="Y303">
        <v>0.22</v>
      </c>
      <c r="Z303">
        <v>0.2</v>
      </c>
      <c r="AA303">
        <v>0.08</v>
      </c>
      <c r="AB303">
        <v>0.05</v>
      </c>
      <c r="AC303">
        <v>0.4</v>
      </c>
    </row>
    <row r="304" spans="1:29" x14ac:dyDescent="0.3">
      <c r="A304" t="s">
        <v>257</v>
      </c>
      <c r="B304" t="s">
        <v>139</v>
      </c>
      <c r="C304" t="s">
        <v>9</v>
      </c>
      <c r="D304">
        <v>25</v>
      </c>
      <c r="E304">
        <v>76</v>
      </c>
      <c r="F304">
        <v>2</v>
      </c>
      <c r="G304">
        <v>0</v>
      </c>
      <c r="H304">
        <v>0</v>
      </c>
      <c r="I304" t="s">
        <v>21</v>
      </c>
      <c r="J304">
        <v>0</v>
      </c>
      <c r="K304">
        <v>0</v>
      </c>
      <c r="L304">
        <v>2</v>
      </c>
      <c r="M304">
        <v>-1</v>
      </c>
      <c r="N304">
        <v>241</v>
      </c>
      <c r="O304">
        <v>50</v>
      </c>
      <c r="P304">
        <v>5.8999999999999998E-5</v>
      </c>
      <c r="Q304">
        <v>538</v>
      </c>
      <c r="R304">
        <v>6</v>
      </c>
      <c r="S304">
        <v>0</v>
      </c>
      <c r="T304">
        <v>0</v>
      </c>
      <c r="U304">
        <v>0</v>
      </c>
      <c r="V304">
        <v>0</v>
      </c>
      <c r="W304">
        <v>4</v>
      </c>
      <c r="X304">
        <v>0</v>
      </c>
      <c r="Y304">
        <v>0.25</v>
      </c>
      <c r="Z304">
        <v>0.2</v>
      </c>
      <c r="AA304">
        <v>0.08</v>
      </c>
      <c r="AB304">
        <v>0.05</v>
      </c>
      <c r="AC304">
        <v>0.01</v>
      </c>
    </row>
    <row r="305" spans="1:29" x14ac:dyDescent="0.3">
      <c r="A305" t="s">
        <v>258</v>
      </c>
      <c r="B305" t="s">
        <v>139</v>
      </c>
      <c r="C305" t="s">
        <v>9</v>
      </c>
      <c r="D305">
        <v>25</v>
      </c>
      <c r="E305">
        <v>76</v>
      </c>
      <c r="F305">
        <v>2</v>
      </c>
      <c r="G305">
        <v>0</v>
      </c>
      <c r="H305">
        <v>0</v>
      </c>
      <c r="I305" t="s">
        <v>21</v>
      </c>
      <c r="J305">
        <v>0</v>
      </c>
      <c r="K305">
        <v>0</v>
      </c>
      <c r="L305">
        <v>2</v>
      </c>
      <c r="M305">
        <v>-1</v>
      </c>
      <c r="N305">
        <v>300</v>
      </c>
      <c r="O305">
        <v>50</v>
      </c>
      <c r="P305">
        <v>2.8299999999999998E-7</v>
      </c>
      <c r="Q305">
        <v>500</v>
      </c>
      <c r="R305">
        <v>6.29</v>
      </c>
      <c r="S305">
        <v>0</v>
      </c>
      <c r="T305">
        <v>1.68</v>
      </c>
      <c r="U305">
        <v>0</v>
      </c>
      <c r="V305">
        <v>3.38</v>
      </c>
      <c r="W305">
        <v>0</v>
      </c>
      <c r="X305">
        <v>0.24</v>
      </c>
      <c r="Y305">
        <v>0.05</v>
      </c>
      <c r="Z305">
        <v>0.03</v>
      </c>
      <c r="AA305">
        <v>0.01</v>
      </c>
      <c r="AB305">
        <v>0.05</v>
      </c>
      <c r="AC305">
        <v>0.01</v>
      </c>
    </row>
    <row r="306" spans="1:29" x14ac:dyDescent="0.3">
      <c r="A306" t="s">
        <v>259</v>
      </c>
      <c r="B306" t="s">
        <v>139</v>
      </c>
      <c r="C306" t="s">
        <v>9</v>
      </c>
      <c r="D306">
        <v>25</v>
      </c>
      <c r="E306">
        <v>76</v>
      </c>
      <c r="F306">
        <v>2</v>
      </c>
      <c r="G306">
        <v>950</v>
      </c>
      <c r="H306">
        <v>1</v>
      </c>
      <c r="I306" t="s">
        <v>21</v>
      </c>
      <c r="J306">
        <v>530</v>
      </c>
      <c r="K306">
        <v>6</v>
      </c>
      <c r="L306">
        <v>2</v>
      </c>
      <c r="M306">
        <v>-1</v>
      </c>
      <c r="N306">
        <v>300</v>
      </c>
      <c r="O306">
        <v>50</v>
      </c>
      <c r="P306">
        <v>1.92E-7</v>
      </c>
      <c r="Q306">
        <v>500</v>
      </c>
      <c r="R306">
        <v>6.29</v>
      </c>
      <c r="S306">
        <v>0</v>
      </c>
      <c r="T306">
        <v>1.68</v>
      </c>
      <c r="U306">
        <v>0</v>
      </c>
      <c r="V306">
        <v>3.38</v>
      </c>
      <c r="W306">
        <v>0</v>
      </c>
      <c r="X306">
        <v>0.24</v>
      </c>
      <c r="Y306">
        <v>0.05</v>
      </c>
      <c r="Z306">
        <v>0.03</v>
      </c>
      <c r="AA306">
        <v>0.01</v>
      </c>
      <c r="AB306">
        <v>0.05</v>
      </c>
      <c r="AC306">
        <v>0.01</v>
      </c>
    </row>
    <row r="307" spans="1:29" x14ac:dyDescent="0.3">
      <c r="A307" t="s">
        <v>260</v>
      </c>
      <c r="B307" t="s">
        <v>139</v>
      </c>
      <c r="C307" t="s">
        <v>9</v>
      </c>
      <c r="D307">
        <v>25</v>
      </c>
      <c r="E307">
        <v>76</v>
      </c>
      <c r="F307">
        <v>2</v>
      </c>
      <c r="G307">
        <v>970</v>
      </c>
      <c r="H307">
        <v>1</v>
      </c>
      <c r="I307" t="s">
        <v>21</v>
      </c>
      <c r="J307">
        <v>530</v>
      </c>
      <c r="K307">
        <v>6</v>
      </c>
      <c r="L307">
        <v>2</v>
      </c>
      <c r="M307">
        <v>-1</v>
      </c>
      <c r="N307">
        <v>300</v>
      </c>
      <c r="O307">
        <v>50</v>
      </c>
      <c r="P307">
        <v>9.9999999999999995E-8</v>
      </c>
      <c r="Q307">
        <v>500</v>
      </c>
      <c r="R307">
        <v>6.29</v>
      </c>
      <c r="S307">
        <v>0</v>
      </c>
      <c r="T307">
        <v>1.68</v>
      </c>
      <c r="U307">
        <v>0</v>
      </c>
      <c r="V307">
        <v>3.38</v>
      </c>
      <c r="W307">
        <v>0</v>
      </c>
      <c r="X307">
        <v>0.24</v>
      </c>
      <c r="Y307">
        <v>0.05</v>
      </c>
      <c r="Z307">
        <v>0.03</v>
      </c>
      <c r="AA307">
        <v>0.01</v>
      </c>
      <c r="AB307">
        <v>0.05</v>
      </c>
      <c r="AC307">
        <v>0.01</v>
      </c>
    </row>
    <row r="308" spans="1:29" x14ac:dyDescent="0.3">
      <c r="A308" t="s">
        <v>261</v>
      </c>
      <c r="B308" t="s">
        <v>139</v>
      </c>
      <c r="C308" t="s">
        <v>9</v>
      </c>
      <c r="D308">
        <v>25</v>
      </c>
      <c r="E308">
        <v>76</v>
      </c>
      <c r="F308">
        <v>2</v>
      </c>
      <c r="G308">
        <v>970</v>
      </c>
      <c r="H308">
        <v>1</v>
      </c>
      <c r="I308" t="s">
        <v>21</v>
      </c>
      <c r="J308">
        <v>530</v>
      </c>
      <c r="K308">
        <v>24</v>
      </c>
      <c r="L308">
        <v>2</v>
      </c>
      <c r="M308">
        <v>-1</v>
      </c>
      <c r="N308">
        <v>300</v>
      </c>
      <c r="O308">
        <v>50</v>
      </c>
      <c r="P308">
        <v>2.3999999999999998E-7</v>
      </c>
      <c r="Q308">
        <v>500</v>
      </c>
      <c r="R308">
        <v>6.29</v>
      </c>
      <c r="S308">
        <v>0</v>
      </c>
      <c r="T308">
        <v>1.68</v>
      </c>
      <c r="U308">
        <v>0</v>
      </c>
      <c r="V308">
        <v>3.38</v>
      </c>
      <c r="W308">
        <v>0</v>
      </c>
      <c r="X308">
        <v>0.24</v>
      </c>
      <c r="Y308">
        <v>0.05</v>
      </c>
      <c r="Z308">
        <v>0.03</v>
      </c>
      <c r="AA308">
        <v>0.01</v>
      </c>
      <c r="AB308">
        <v>0.05</v>
      </c>
      <c r="AC308">
        <v>0.01</v>
      </c>
    </row>
    <row r="309" spans="1:29" x14ac:dyDescent="0.3">
      <c r="A309" t="s">
        <v>262</v>
      </c>
      <c r="B309" t="s">
        <v>139</v>
      </c>
      <c r="C309" t="s">
        <v>9</v>
      </c>
      <c r="D309">
        <v>25</v>
      </c>
      <c r="E309">
        <v>76</v>
      </c>
      <c r="F309">
        <v>2</v>
      </c>
      <c r="G309">
        <v>1010</v>
      </c>
      <c r="H309">
        <v>1</v>
      </c>
      <c r="I309" t="s">
        <v>21</v>
      </c>
      <c r="J309">
        <v>530</v>
      </c>
      <c r="K309">
        <v>6</v>
      </c>
      <c r="L309">
        <v>2</v>
      </c>
      <c r="M309">
        <v>-1</v>
      </c>
      <c r="N309">
        <v>300</v>
      </c>
      <c r="O309">
        <v>50</v>
      </c>
      <c r="P309">
        <v>2.1400000000000001E-7</v>
      </c>
      <c r="Q309">
        <v>500</v>
      </c>
      <c r="R309">
        <v>6.29</v>
      </c>
      <c r="S309">
        <v>0</v>
      </c>
      <c r="T309">
        <v>1.68</v>
      </c>
      <c r="U309">
        <v>0</v>
      </c>
      <c r="V309">
        <v>3.38</v>
      </c>
      <c r="W309">
        <v>0</v>
      </c>
      <c r="X309">
        <v>0.24</v>
      </c>
      <c r="Y309">
        <v>0.05</v>
      </c>
      <c r="Z309">
        <v>0.03</v>
      </c>
      <c r="AA309">
        <v>0.01</v>
      </c>
      <c r="AB309">
        <v>0.05</v>
      </c>
      <c r="AC309">
        <v>0.01</v>
      </c>
    </row>
    <row r="310" spans="1:29" x14ac:dyDescent="0.3">
      <c r="A310" t="s">
        <v>263</v>
      </c>
      <c r="B310" t="s">
        <v>139</v>
      </c>
      <c r="C310" t="s">
        <v>9</v>
      </c>
      <c r="D310">
        <v>25</v>
      </c>
      <c r="E310">
        <v>76</v>
      </c>
      <c r="F310">
        <v>2</v>
      </c>
      <c r="G310">
        <v>0</v>
      </c>
      <c r="H310">
        <v>0</v>
      </c>
      <c r="I310" t="s">
        <v>21</v>
      </c>
      <c r="J310">
        <v>720</v>
      </c>
      <c r="K310">
        <v>2</v>
      </c>
      <c r="L310">
        <v>2</v>
      </c>
      <c r="M310">
        <v>-1</v>
      </c>
      <c r="N310">
        <v>104</v>
      </c>
      <c r="O310">
        <v>50.8</v>
      </c>
      <c r="P310">
        <v>6.9999999999999997E-7</v>
      </c>
      <c r="Q310">
        <v>650</v>
      </c>
      <c r="R310">
        <v>5.9</v>
      </c>
      <c r="S310">
        <v>0</v>
      </c>
      <c r="T310">
        <v>0</v>
      </c>
      <c r="U310">
        <v>0</v>
      </c>
      <c r="V310">
        <v>0</v>
      </c>
      <c r="W310">
        <v>3.9</v>
      </c>
      <c r="X310">
        <v>0</v>
      </c>
      <c r="Y310">
        <v>0.17</v>
      </c>
      <c r="Z310">
        <v>0.246</v>
      </c>
      <c r="AA310">
        <v>2.9000000000000001E-2</v>
      </c>
      <c r="AB310">
        <v>3.0999999999999999E-3</v>
      </c>
      <c r="AC310">
        <v>3.0999999999999999E-3</v>
      </c>
    </row>
    <row r="311" spans="1:29" x14ac:dyDescent="0.3">
      <c r="A311" t="s">
        <v>264</v>
      </c>
      <c r="B311" t="s">
        <v>139</v>
      </c>
      <c r="C311" t="s">
        <v>9</v>
      </c>
      <c r="D311">
        <v>25</v>
      </c>
      <c r="E311">
        <v>76</v>
      </c>
      <c r="F311">
        <v>2</v>
      </c>
      <c r="G311">
        <v>1050</v>
      </c>
      <c r="H311">
        <v>0.5</v>
      </c>
      <c r="I311" t="s">
        <v>21</v>
      </c>
      <c r="J311">
        <v>700</v>
      </c>
      <c r="K311">
        <v>2</v>
      </c>
      <c r="L311">
        <v>2</v>
      </c>
      <c r="M311">
        <v>-1</v>
      </c>
      <c r="N311">
        <v>310</v>
      </c>
      <c r="O311">
        <v>55.84</v>
      </c>
      <c r="P311">
        <v>0</v>
      </c>
      <c r="Q311">
        <v>600</v>
      </c>
      <c r="R311">
        <v>5.7</v>
      </c>
      <c r="S311">
        <v>4.8</v>
      </c>
      <c r="T311">
        <v>2.2000000000000002</v>
      </c>
      <c r="U311">
        <v>0.69</v>
      </c>
      <c r="V311">
        <v>1</v>
      </c>
      <c r="W311">
        <v>0</v>
      </c>
      <c r="X311">
        <v>0.31</v>
      </c>
      <c r="Y311">
        <v>0</v>
      </c>
      <c r="Z311">
        <v>0</v>
      </c>
      <c r="AA311">
        <v>0.04</v>
      </c>
      <c r="AB311">
        <v>0</v>
      </c>
      <c r="AC311">
        <v>0</v>
      </c>
    </row>
    <row r="312" spans="1:29" x14ac:dyDescent="0.3">
      <c r="A312" t="s">
        <v>265</v>
      </c>
      <c r="B312" t="s">
        <v>139</v>
      </c>
      <c r="C312" t="s">
        <v>9</v>
      </c>
      <c r="D312">
        <v>25</v>
      </c>
      <c r="E312">
        <v>76</v>
      </c>
      <c r="F312">
        <v>2</v>
      </c>
      <c r="G312">
        <v>1050</v>
      </c>
      <c r="H312">
        <v>0.5</v>
      </c>
      <c r="I312" t="s">
        <v>21</v>
      </c>
      <c r="J312">
        <v>950</v>
      </c>
      <c r="K312">
        <v>1</v>
      </c>
      <c r="L312">
        <v>2</v>
      </c>
      <c r="M312">
        <v>-1</v>
      </c>
      <c r="N312">
        <v>208</v>
      </c>
      <c r="O312">
        <v>61.33</v>
      </c>
      <c r="P312">
        <v>9.9000000000000005E-7</v>
      </c>
      <c r="Q312">
        <v>600</v>
      </c>
      <c r="R312">
        <v>6.61</v>
      </c>
      <c r="S312">
        <v>0</v>
      </c>
      <c r="T312">
        <v>0</v>
      </c>
      <c r="U312">
        <v>0</v>
      </c>
      <c r="V312">
        <v>0</v>
      </c>
      <c r="W312">
        <v>4.2300000000000004</v>
      </c>
      <c r="X312">
        <v>0</v>
      </c>
      <c r="Y312">
        <v>1.18</v>
      </c>
      <c r="Z312">
        <v>0.13</v>
      </c>
      <c r="AA312">
        <v>2.5999999999999999E-2</v>
      </c>
      <c r="AB312">
        <v>1.0999999999999999E-2</v>
      </c>
      <c r="AC312">
        <v>3.0000000000000001E-3</v>
      </c>
    </row>
    <row r="313" spans="1:29" x14ac:dyDescent="0.3">
      <c r="A313" t="s">
        <v>266</v>
      </c>
      <c r="B313" t="s">
        <v>139</v>
      </c>
      <c r="C313" t="s">
        <v>9</v>
      </c>
      <c r="D313">
        <v>25</v>
      </c>
      <c r="E313">
        <v>76</v>
      </c>
      <c r="F313">
        <v>2</v>
      </c>
      <c r="G313">
        <v>0</v>
      </c>
      <c r="H313">
        <v>0</v>
      </c>
      <c r="I313" t="s">
        <v>21</v>
      </c>
      <c r="J313">
        <v>0</v>
      </c>
      <c r="K313">
        <v>0</v>
      </c>
      <c r="L313">
        <v>2</v>
      </c>
      <c r="M313">
        <v>-1</v>
      </c>
      <c r="N313">
        <v>300</v>
      </c>
      <c r="O313">
        <v>70.540000000000006</v>
      </c>
      <c r="P313">
        <v>0</v>
      </c>
      <c r="Q313">
        <v>500</v>
      </c>
      <c r="R313">
        <v>5.6</v>
      </c>
      <c r="S313">
        <v>0</v>
      </c>
      <c r="T313">
        <v>0</v>
      </c>
      <c r="U313">
        <v>0</v>
      </c>
      <c r="V313">
        <v>5.08</v>
      </c>
      <c r="W313">
        <v>5.08</v>
      </c>
      <c r="X313">
        <v>0</v>
      </c>
      <c r="Y313">
        <v>0.95</v>
      </c>
      <c r="Z313">
        <v>0</v>
      </c>
      <c r="AA313">
        <v>0</v>
      </c>
      <c r="AB313">
        <v>0</v>
      </c>
      <c r="AC313">
        <v>0</v>
      </c>
    </row>
    <row r="314" spans="1:29" x14ac:dyDescent="0.3">
      <c r="A314" t="s">
        <v>267</v>
      </c>
      <c r="B314" t="s">
        <v>139</v>
      </c>
      <c r="C314" t="s">
        <v>9</v>
      </c>
      <c r="D314">
        <v>25</v>
      </c>
      <c r="E314">
        <v>76</v>
      </c>
      <c r="F314">
        <v>2</v>
      </c>
      <c r="G314">
        <v>0</v>
      </c>
      <c r="H314">
        <v>0</v>
      </c>
      <c r="I314" t="s">
        <v>21</v>
      </c>
      <c r="J314">
        <v>1260</v>
      </c>
      <c r="K314">
        <v>4</v>
      </c>
      <c r="L314">
        <v>2</v>
      </c>
      <c r="M314">
        <v>-1</v>
      </c>
      <c r="N314">
        <v>200</v>
      </c>
      <c r="O314">
        <v>70.599999999999994</v>
      </c>
      <c r="P314">
        <v>5.7199999999999999E-7</v>
      </c>
      <c r="Q314">
        <v>750</v>
      </c>
      <c r="R314">
        <v>48</v>
      </c>
      <c r="S314">
        <v>0</v>
      </c>
      <c r="T314">
        <v>0</v>
      </c>
      <c r="U314">
        <v>2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</row>
    <row r="315" spans="1:29" x14ac:dyDescent="0.3">
      <c r="A315" t="s">
        <v>268</v>
      </c>
      <c r="B315" t="s">
        <v>139</v>
      </c>
      <c r="C315" t="s">
        <v>9</v>
      </c>
      <c r="D315">
        <v>25</v>
      </c>
      <c r="E315">
        <v>76</v>
      </c>
      <c r="F315">
        <v>2</v>
      </c>
      <c r="G315">
        <v>0</v>
      </c>
      <c r="H315">
        <v>0</v>
      </c>
      <c r="I315" t="s">
        <v>21</v>
      </c>
      <c r="J315">
        <v>0</v>
      </c>
      <c r="K315">
        <v>0</v>
      </c>
      <c r="L315">
        <v>2</v>
      </c>
      <c r="M315">
        <v>-1</v>
      </c>
      <c r="N315">
        <v>250</v>
      </c>
      <c r="O315">
        <v>71.192999999999998</v>
      </c>
      <c r="P315">
        <v>0</v>
      </c>
      <c r="Q315">
        <v>500</v>
      </c>
      <c r="R315">
        <v>5.6</v>
      </c>
      <c r="S315">
        <v>0</v>
      </c>
      <c r="T315">
        <v>0</v>
      </c>
      <c r="U315">
        <v>0</v>
      </c>
      <c r="V315">
        <v>5.08</v>
      </c>
      <c r="W315">
        <v>5.08</v>
      </c>
      <c r="X315">
        <v>0</v>
      </c>
      <c r="Y315">
        <v>0.95</v>
      </c>
      <c r="Z315">
        <v>0</v>
      </c>
      <c r="AA315">
        <v>0</v>
      </c>
      <c r="AB315">
        <v>0</v>
      </c>
      <c r="AC315">
        <v>0</v>
      </c>
    </row>
    <row r="316" spans="1:29" x14ac:dyDescent="0.3">
      <c r="A316" t="s">
        <v>269</v>
      </c>
      <c r="B316" t="s">
        <v>139</v>
      </c>
      <c r="C316" t="s">
        <v>9</v>
      </c>
      <c r="D316">
        <v>25</v>
      </c>
      <c r="E316">
        <v>76</v>
      </c>
      <c r="F316">
        <v>2</v>
      </c>
      <c r="G316">
        <v>0</v>
      </c>
      <c r="H316">
        <v>0</v>
      </c>
      <c r="I316" t="s">
        <v>21</v>
      </c>
      <c r="J316">
        <v>0</v>
      </c>
      <c r="K316">
        <v>0</v>
      </c>
      <c r="L316">
        <v>2</v>
      </c>
      <c r="M316">
        <v>-1</v>
      </c>
      <c r="N316">
        <v>200</v>
      </c>
      <c r="O316">
        <v>71.56</v>
      </c>
      <c r="P316">
        <v>0</v>
      </c>
      <c r="Q316">
        <v>500</v>
      </c>
      <c r="R316">
        <v>5.6</v>
      </c>
      <c r="S316">
        <v>0</v>
      </c>
      <c r="T316">
        <v>0</v>
      </c>
      <c r="U316">
        <v>0</v>
      </c>
      <c r="V316">
        <v>5.08</v>
      </c>
      <c r="W316">
        <v>5.08</v>
      </c>
      <c r="X316">
        <v>0</v>
      </c>
      <c r="Y316">
        <v>0.95</v>
      </c>
      <c r="Z316">
        <v>0</v>
      </c>
      <c r="AA316">
        <v>0</v>
      </c>
      <c r="AB316">
        <v>0</v>
      </c>
      <c r="AC316">
        <v>0</v>
      </c>
    </row>
    <row r="317" spans="1:29" x14ac:dyDescent="0.3">
      <c r="A317" t="s">
        <v>270</v>
      </c>
      <c r="B317" t="s">
        <v>139</v>
      </c>
      <c r="C317" t="s">
        <v>9</v>
      </c>
      <c r="D317">
        <v>25</v>
      </c>
      <c r="E317">
        <v>76</v>
      </c>
      <c r="F317">
        <v>2</v>
      </c>
      <c r="G317">
        <v>1100</v>
      </c>
      <c r="H317">
        <v>0.42</v>
      </c>
      <c r="I317" t="s">
        <v>21</v>
      </c>
      <c r="J317">
        <v>480</v>
      </c>
      <c r="K317">
        <v>0</v>
      </c>
      <c r="L317">
        <v>2</v>
      </c>
      <c r="M317">
        <v>-1</v>
      </c>
      <c r="N317">
        <v>575</v>
      </c>
      <c r="O317">
        <v>72</v>
      </c>
      <c r="P317">
        <v>5.1500000000000005E-4</v>
      </c>
      <c r="Q317">
        <v>400</v>
      </c>
      <c r="R317">
        <v>6.33</v>
      </c>
      <c r="S317">
        <v>0</v>
      </c>
      <c r="T317">
        <v>0</v>
      </c>
      <c r="U317">
        <v>0</v>
      </c>
      <c r="V317">
        <v>0</v>
      </c>
      <c r="W317">
        <v>4</v>
      </c>
      <c r="X317">
        <v>0</v>
      </c>
      <c r="Y317">
        <v>0.2</v>
      </c>
      <c r="Z317">
        <v>0.17</v>
      </c>
      <c r="AA317">
        <v>0.03</v>
      </c>
      <c r="AB317">
        <v>0.01</v>
      </c>
      <c r="AC317">
        <v>4.0000000000000001E-3</v>
      </c>
    </row>
    <row r="318" spans="1:29" x14ac:dyDescent="0.3">
      <c r="A318" t="s">
        <v>271</v>
      </c>
      <c r="B318" t="s">
        <v>139</v>
      </c>
      <c r="C318" t="s">
        <v>9</v>
      </c>
      <c r="D318">
        <v>25</v>
      </c>
      <c r="E318">
        <v>76</v>
      </c>
      <c r="F318">
        <v>2</v>
      </c>
      <c r="G318">
        <v>0</v>
      </c>
      <c r="H318">
        <v>0</v>
      </c>
      <c r="I318" t="s">
        <v>21</v>
      </c>
      <c r="J318">
        <v>0</v>
      </c>
      <c r="K318">
        <v>0</v>
      </c>
      <c r="L318">
        <v>2</v>
      </c>
      <c r="M318">
        <v>-1</v>
      </c>
      <c r="N318">
        <v>200</v>
      </c>
      <c r="O318">
        <v>72</v>
      </c>
      <c r="P318">
        <v>5.3400000000000002E-9</v>
      </c>
      <c r="Q318">
        <v>400</v>
      </c>
      <c r="R318">
        <v>5.6</v>
      </c>
      <c r="S318">
        <v>0</v>
      </c>
      <c r="T318">
        <v>0</v>
      </c>
      <c r="U318">
        <v>0</v>
      </c>
      <c r="V318">
        <v>5.08</v>
      </c>
      <c r="W318">
        <v>5.08</v>
      </c>
      <c r="X318">
        <v>0</v>
      </c>
      <c r="Y318">
        <v>0.95</v>
      </c>
      <c r="Z318">
        <v>0</v>
      </c>
      <c r="AA318">
        <v>0</v>
      </c>
      <c r="AB318">
        <v>0</v>
      </c>
      <c r="AC318">
        <v>0</v>
      </c>
    </row>
    <row r="319" spans="1:29" x14ac:dyDescent="0.3">
      <c r="A319" t="s">
        <v>272</v>
      </c>
      <c r="B319" t="s">
        <v>139</v>
      </c>
      <c r="C319" t="s">
        <v>9</v>
      </c>
      <c r="D319">
        <v>25</v>
      </c>
      <c r="E319">
        <v>76</v>
      </c>
      <c r="F319">
        <v>2</v>
      </c>
      <c r="G319">
        <v>0</v>
      </c>
      <c r="H319">
        <v>0</v>
      </c>
      <c r="I319" t="s">
        <v>21</v>
      </c>
      <c r="J319">
        <v>0</v>
      </c>
      <c r="K319">
        <v>0</v>
      </c>
      <c r="L319">
        <v>2</v>
      </c>
      <c r="M319">
        <v>-1</v>
      </c>
      <c r="N319">
        <v>250</v>
      </c>
      <c r="O319">
        <v>72</v>
      </c>
      <c r="P319">
        <v>5.9500000000000003E-9</v>
      </c>
      <c r="Q319">
        <v>400</v>
      </c>
      <c r="R319">
        <v>5.6</v>
      </c>
      <c r="S319">
        <v>0</v>
      </c>
      <c r="T319">
        <v>0</v>
      </c>
      <c r="U319">
        <v>0</v>
      </c>
      <c r="V319">
        <v>5.08</v>
      </c>
      <c r="W319">
        <v>5.08</v>
      </c>
      <c r="X319">
        <v>0</v>
      </c>
      <c r="Y319">
        <v>0.95</v>
      </c>
      <c r="Z319">
        <v>0</v>
      </c>
      <c r="AA319">
        <v>0</v>
      </c>
      <c r="AB319">
        <v>0</v>
      </c>
      <c r="AC319">
        <v>0</v>
      </c>
    </row>
    <row r="320" spans="1:29" x14ac:dyDescent="0.3">
      <c r="A320" t="s">
        <v>273</v>
      </c>
      <c r="B320" t="s">
        <v>139</v>
      </c>
      <c r="C320" t="s">
        <v>9</v>
      </c>
      <c r="D320">
        <v>25</v>
      </c>
      <c r="E320">
        <v>76</v>
      </c>
      <c r="F320">
        <v>2</v>
      </c>
      <c r="G320">
        <v>0</v>
      </c>
      <c r="H320">
        <v>0</v>
      </c>
      <c r="I320" t="s">
        <v>21</v>
      </c>
      <c r="J320">
        <v>0</v>
      </c>
      <c r="K320">
        <v>0</v>
      </c>
      <c r="L320">
        <v>2</v>
      </c>
      <c r="M320">
        <v>-1</v>
      </c>
      <c r="N320">
        <v>300</v>
      </c>
      <c r="O320">
        <v>72</v>
      </c>
      <c r="P320">
        <v>1.0800000000000001E-8</v>
      </c>
      <c r="Q320">
        <v>400</v>
      </c>
      <c r="R320">
        <v>5.6</v>
      </c>
      <c r="S320">
        <v>0</v>
      </c>
      <c r="T320">
        <v>0</v>
      </c>
      <c r="U320">
        <v>0</v>
      </c>
      <c r="V320">
        <v>5.08</v>
      </c>
      <c r="W320">
        <v>5.08</v>
      </c>
      <c r="X320">
        <v>0</v>
      </c>
      <c r="Y320">
        <v>0.95</v>
      </c>
      <c r="Z320">
        <v>0</v>
      </c>
      <c r="AA320">
        <v>0</v>
      </c>
      <c r="AB320">
        <v>0</v>
      </c>
      <c r="AC320">
        <v>0</v>
      </c>
    </row>
    <row r="321" spans="1:29" x14ac:dyDescent="0.3">
      <c r="A321" t="s">
        <v>274</v>
      </c>
      <c r="B321" t="s">
        <v>139</v>
      </c>
      <c r="C321" t="s">
        <v>9</v>
      </c>
      <c r="D321">
        <v>25</v>
      </c>
      <c r="E321">
        <v>76</v>
      </c>
      <c r="F321">
        <v>2</v>
      </c>
      <c r="G321">
        <v>0</v>
      </c>
      <c r="H321">
        <v>0</v>
      </c>
      <c r="I321" t="s">
        <v>21</v>
      </c>
      <c r="J321">
        <v>0</v>
      </c>
      <c r="K321">
        <v>0</v>
      </c>
      <c r="L321">
        <v>2</v>
      </c>
      <c r="M321">
        <v>-1</v>
      </c>
      <c r="N321">
        <v>200</v>
      </c>
      <c r="O321">
        <v>72</v>
      </c>
      <c r="P321">
        <v>9.2700000000000003E-8</v>
      </c>
      <c r="Q321">
        <v>500</v>
      </c>
      <c r="R321">
        <v>5.6</v>
      </c>
      <c r="S321">
        <v>0</v>
      </c>
      <c r="T321">
        <v>0</v>
      </c>
      <c r="U321">
        <v>0</v>
      </c>
      <c r="V321">
        <v>5.08</v>
      </c>
      <c r="W321">
        <v>5.08</v>
      </c>
      <c r="X321">
        <v>0</v>
      </c>
      <c r="Y321">
        <v>0.95</v>
      </c>
      <c r="Z321">
        <v>0</v>
      </c>
      <c r="AA321">
        <v>0</v>
      </c>
      <c r="AB321">
        <v>0</v>
      </c>
      <c r="AC321">
        <v>0</v>
      </c>
    </row>
    <row r="322" spans="1:29" x14ac:dyDescent="0.3">
      <c r="A322" t="s">
        <v>275</v>
      </c>
      <c r="B322" t="s">
        <v>139</v>
      </c>
      <c r="C322" t="s">
        <v>9</v>
      </c>
      <c r="D322">
        <v>25</v>
      </c>
      <c r="E322">
        <v>76</v>
      </c>
      <c r="F322">
        <v>2</v>
      </c>
      <c r="G322">
        <v>0</v>
      </c>
      <c r="H322">
        <v>0</v>
      </c>
      <c r="I322" t="s">
        <v>21</v>
      </c>
      <c r="J322">
        <v>0</v>
      </c>
      <c r="K322">
        <v>0</v>
      </c>
      <c r="L322">
        <v>2</v>
      </c>
      <c r="M322">
        <v>-1</v>
      </c>
      <c r="N322">
        <v>250</v>
      </c>
      <c r="O322">
        <v>72</v>
      </c>
      <c r="P322">
        <v>1.8699999999999999E-7</v>
      </c>
      <c r="Q322">
        <v>500</v>
      </c>
      <c r="R322">
        <v>5.6</v>
      </c>
      <c r="S322">
        <v>0</v>
      </c>
      <c r="T322">
        <v>0</v>
      </c>
      <c r="U322">
        <v>0</v>
      </c>
      <c r="V322">
        <v>5.08</v>
      </c>
      <c r="W322">
        <v>5.08</v>
      </c>
      <c r="X322">
        <v>0</v>
      </c>
      <c r="Y322">
        <v>0.95</v>
      </c>
      <c r="Z322">
        <v>0</v>
      </c>
      <c r="AA322">
        <v>0</v>
      </c>
      <c r="AB322">
        <v>0</v>
      </c>
      <c r="AC322">
        <v>0</v>
      </c>
    </row>
    <row r="323" spans="1:29" x14ac:dyDescent="0.3">
      <c r="A323" t="s">
        <v>276</v>
      </c>
      <c r="B323" t="s">
        <v>139</v>
      </c>
      <c r="C323" t="s">
        <v>9</v>
      </c>
      <c r="D323">
        <v>25</v>
      </c>
      <c r="E323">
        <v>76</v>
      </c>
      <c r="F323">
        <v>2</v>
      </c>
      <c r="G323">
        <v>0</v>
      </c>
      <c r="H323">
        <v>0</v>
      </c>
      <c r="I323" t="s">
        <v>21</v>
      </c>
      <c r="J323">
        <v>0</v>
      </c>
      <c r="K323">
        <v>0</v>
      </c>
      <c r="L323">
        <v>2</v>
      </c>
      <c r="M323">
        <v>-1</v>
      </c>
      <c r="N323">
        <v>300</v>
      </c>
      <c r="O323">
        <v>72</v>
      </c>
      <c r="P323">
        <v>4.8599999999999998E-7</v>
      </c>
      <c r="Q323">
        <v>500</v>
      </c>
      <c r="R323">
        <v>5.6</v>
      </c>
      <c r="S323">
        <v>0</v>
      </c>
      <c r="T323">
        <v>0</v>
      </c>
      <c r="U323">
        <v>0</v>
      </c>
      <c r="V323">
        <v>5.08</v>
      </c>
      <c r="W323">
        <v>5.08</v>
      </c>
      <c r="X323">
        <v>0</v>
      </c>
      <c r="Y323">
        <v>0.95</v>
      </c>
      <c r="Z323">
        <v>0</v>
      </c>
      <c r="AA323">
        <v>0</v>
      </c>
      <c r="AB323">
        <v>0</v>
      </c>
      <c r="AC323">
        <v>0</v>
      </c>
    </row>
    <row r="324" spans="1:29" x14ac:dyDescent="0.3">
      <c r="A324" t="s">
        <v>277</v>
      </c>
      <c r="B324" t="s">
        <v>139</v>
      </c>
      <c r="C324" t="s">
        <v>9</v>
      </c>
      <c r="D324">
        <v>25</v>
      </c>
      <c r="E324">
        <v>76</v>
      </c>
      <c r="F324">
        <v>2</v>
      </c>
      <c r="G324">
        <v>0</v>
      </c>
      <c r="H324">
        <v>0</v>
      </c>
      <c r="I324" t="s">
        <v>21</v>
      </c>
      <c r="J324">
        <v>0</v>
      </c>
      <c r="K324">
        <v>0</v>
      </c>
      <c r="L324">
        <v>2</v>
      </c>
      <c r="M324">
        <v>-1</v>
      </c>
      <c r="N324">
        <v>250</v>
      </c>
      <c r="O324">
        <v>72</v>
      </c>
      <c r="P324">
        <v>0</v>
      </c>
      <c r="Q324">
        <v>400</v>
      </c>
      <c r="R324">
        <v>5.6</v>
      </c>
      <c r="S324">
        <v>0</v>
      </c>
      <c r="T324">
        <v>0</v>
      </c>
      <c r="U324">
        <v>0</v>
      </c>
      <c r="V324">
        <v>5.08</v>
      </c>
      <c r="W324">
        <v>5.08</v>
      </c>
      <c r="X324">
        <v>0</v>
      </c>
      <c r="Y324">
        <v>0.95</v>
      </c>
      <c r="Z324">
        <v>0</v>
      </c>
      <c r="AA324">
        <v>0</v>
      </c>
      <c r="AB324">
        <v>0</v>
      </c>
      <c r="AC324">
        <v>0</v>
      </c>
    </row>
    <row r="325" spans="1:29" x14ac:dyDescent="0.3">
      <c r="A325" t="s">
        <v>278</v>
      </c>
      <c r="B325" t="s">
        <v>139</v>
      </c>
      <c r="C325" t="s">
        <v>9</v>
      </c>
      <c r="D325">
        <v>25</v>
      </c>
      <c r="E325">
        <v>76</v>
      </c>
      <c r="F325">
        <v>2</v>
      </c>
      <c r="G325">
        <v>0</v>
      </c>
      <c r="H325">
        <v>0</v>
      </c>
      <c r="I325" t="s">
        <v>21</v>
      </c>
      <c r="J325">
        <v>0</v>
      </c>
      <c r="K325">
        <v>0</v>
      </c>
      <c r="L325">
        <v>2</v>
      </c>
      <c r="M325">
        <v>-1</v>
      </c>
      <c r="N325">
        <v>200</v>
      </c>
      <c r="O325">
        <v>72.05</v>
      </c>
      <c r="P325">
        <v>0</v>
      </c>
      <c r="Q325">
        <v>400</v>
      </c>
      <c r="R325">
        <v>5.6</v>
      </c>
      <c r="S325">
        <v>0</v>
      </c>
      <c r="T325">
        <v>0</v>
      </c>
      <c r="U325">
        <v>0</v>
      </c>
      <c r="V325">
        <v>5.08</v>
      </c>
      <c r="W325">
        <v>5.08</v>
      </c>
      <c r="X325">
        <v>0</v>
      </c>
      <c r="Y325">
        <v>0.95</v>
      </c>
      <c r="Z325">
        <v>0</v>
      </c>
      <c r="AA325">
        <v>0</v>
      </c>
      <c r="AB325">
        <v>0</v>
      </c>
      <c r="AC325">
        <v>0</v>
      </c>
    </row>
    <row r="326" spans="1:29" x14ac:dyDescent="0.3">
      <c r="A326" t="s">
        <v>279</v>
      </c>
      <c r="B326" t="s">
        <v>139</v>
      </c>
      <c r="C326" t="s">
        <v>9</v>
      </c>
      <c r="D326">
        <v>25</v>
      </c>
      <c r="E326">
        <v>76</v>
      </c>
      <c r="F326">
        <v>2</v>
      </c>
      <c r="G326">
        <v>0</v>
      </c>
      <c r="H326">
        <v>0</v>
      </c>
      <c r="I326" t="s">
        <v>21</v>
      </c>
      <c r="J326">
        <v>0</v>
      </c>
      <c r="K326">
        <v>0</v>
      </c>
      <c r="L326">
        <v>2</v>
      </c>
      <c r="M326">
        <v>-1</v>
      </c>
      <c r="N326">
        <v>300</v>
      </c>
      <c r="O326">
        <v>72.05</v>
      </c>
      <c r="P326">
        <v>0</v>
      </c>
      <c r="Q326">
        <v>400</v>
      </c>
      <c r="R326">
        <v>5.6</v>
      </c>
      <c r="S326">
        <v>0</v>
      </c>
      <c r="T326">
        <v>0</v>
      </c>
      <c r="U326">
        <v>0</v>
      </c>
      <c r="V326">
        <v>5.08</v>
      </c>
      <c r="W326">
        <v>5.08</v>
      </c>
      <c r="X326">
        <v>0</v>
      </c>
      <c r="Y326">
        <v>0.95</v>
      </c>
      <c r="Z326">
        <v>0</v>
      </c>
      <c r="AA326">
        <v>0</v>
      </c>
      <c r="AB326">
        <v>0</v>
      </c>
      <c r="AC326">
        <v>0</v>
      </c>
    </row>
    <row r="327" spans="1:29" x14ac:dyDescent="0.3">
      <c r="A327" t="s">
        <v>280</v>
      </c>
      <c r="B327" t="s">
        <v>139</v>
      </c>
      <c r="C327" t="s">
        <v>9</v>
      </c>
      <c r="D327">
        <v>25</v>
      </c>
      <c r="E327">
        <v>76</v>
      </c>
      <c r="F327">
        <v>2</v>
      </c>
      <c r="G327">
        <v>1050</v>
      </c>
      <c r="H327">
        <v>0.5</v>
      </c>
      <c r="I327" t="s">
        <v>21</v>
      </c>
      <c r="J327">
        <v>700</v>
      </c>
      <c r="K327">
        <v>2</v>
      </c>
      <c r="L327">
        <v>2</v>
      </c>
      <c r="M327">
        <v>-1</v>
      </c>
      <c r="N327">
        <v>310</v>
      </c>
      <c r="O327">
        <v>74</v>
      </c>
      <c r="P327">
        <v>0</v>
      </c>
      <c r="Q327">
        <v>600</v>
      </c>
      <c r="R327">
        <v>5.7</v>
      </c>
      <c r="S327">
        <v>4.8</v>
      </c>
      <c r="T327">
        <v>2.2000000000000002</v>
      </c>
      <c r="U327">
        <v>0.69</v>
      </c>
      <c r="V327">
        <v>1</v>
      </c>
      <c r="W327">
        <v>0</v>
      </c>
      <c r="X327">
        <v>0.31</v>
      </c>
      <c r="Y327">
        <v>0</v>
      </c>
      <c r="Z327">
        <v>0</v>
      </c>
      <c r="AA327">
        <v>0.04</v>
      </c>
      <c r="AB327">
        <v>0</v>
      </c>
      <c r="AC327">
        <v>0</v>
      </c>
    </row>
    <row r="328" spans="1:29" x14ac:dyDescent="0.3">
      <c r="A328" t="s">
        <v>281</v>
      </c>
      <c r="B328" t="s">
        <v>139</v>
      </c>
      <c r="C328" t="s">
        <v>9</v>
      </c>
      <c r="D328">
        <v>25</v>
      </c>
      <c r="E328">
        <v>76</v>
      </c>
      <c r="F328">
        <v>2</v>
      </c>
      <c r="G328">
        <v>940</v>
      </c>
      <c r="H328">
        <v>0</v>
      </c>
      <c r="I328" t="s">
        <v>21</v>
      </c>
      <c r="J328">
        <v>480</v>
      </c>
      <c r="K328">
        <v>24</v>
      </c>
      <c r="L328">
        <v>2</v>
      </c>
      <c r="M328">
        <v>-1</v>
      </c>
      <c r="N328">
        <v>575</v>
      </c>
      <c r="O328">
        <v>81</v>
      </c>
      <c r="P328">
        <v>2.2999999999999999E-7</v>
      </c>
      <c r="Q328">
        <v>420</v>
      </c>
      <c r="R328">
        <v>6.33</v>
      </c>
      <c r="S328">
        <v>0</v>
      </c>
      <c r="T328">
        <v>0</v>
      </c>
      <c r="U328">
        <v>0</v>
      </c>
      <c r="V328">
        <v>0</v>
      </c>
      <c r="W328">
        <v>4</v>
      </c>
      <c r="X328">
        <v>0</v>
      </c>
      <c r="Y328">
        <v>0.2</v>
      </c>
      <c r="Z328">
        <v>0.17</v>
      </c>
      <c r="AA328">
        <v>0.03</v>
      </c>
      <c r="AB328">
        <v>0.01</v>
      </c>
      <c r="AC328">
        <v>4.0000000000000001E-3</v>
      </c>
    </row>
    <row r="329" spans="1:29" x14ac:dyDescent="0.3">
      <c r="A329" t="s">
        <v>282</v>
      </c>
      <c r="B329" t="s">
        <v>139</v>
      </c>
      <c r="C329" t="s">
        <v>9</v>
      </c>
      <c r="D329">
        <v>25</v>
      </c>
      <c r="E329">
        <v>76</v>
      </c>
      <c r="F329">
        <v>2</v>
      </c>
      <c r="G329">
        <v>1050</v>
      </c>
      <c r="H329">
        <v>0.5</v>
      </c>
      <c r="I329" t="s">
        <v>21</v>
      </c>
      <c r="J329">
        <v>700</v>
      </c>
      <c r="K329">
        <v>2</v>
      </c>
      <c r="L329">
        <v>2</v>
      </c>
      <c r="M329">
        <v>-1</v>
      </c>
      <c r="N329">
        <v>310</v>
      </c>
      <c r="O329">
        <v>91.45</v>
      </c>
      <c r="P329">
        <v>0</v>
      </c>
      <c r="Q329">
        <v>600</v>
      </c>
      <c r="R329">
        <v>5.7</v>
      </c>
      <c r="S329">
        <v>4.8</v>
      </c>
      <c r="T329">
        <v>2.2000000000000002</v>
      </c>
      <c r="U329">
        <v>0.69</v>
      </c>
      <c r="V329">
        <v>1</v>
      </c>
      <c r="W329">
        <v>0</v>
      </c>
      <c r="X329">
        <v>0.31</v>
      </c>
      <c r="Y329">
        <v>0</v>
      </c>
      <c r="Z329">
        <v>0</v>
      </c>
      <c r="AA329">
        <v>0.04</v>
      </c>
      <c r="AB329">
        <v>0</v>
      </c>
      <c r="AC329">
        <v>0</v>
      </c>
    </row>
    <row r="330" spans="1:29" x14ac:dyDescent="0.3">
      <c r="A330" t="s">
        <v>283</v>
      </c>
      <c r="B330" t="s">
        <v>139</v>
      </c>
      <c r="C330" t="s">
        <v>9</v>
      </c>
      <c r="D330">
        <v>25</v>
      </c>
      <c r="E330">
        <v>76</v>
      </c>
      <c r="F330">
        <v>2</v>
      </c>
      <c r="G330">
        <v>0</v>
      </c>
      <c r="H330">
        <v>0</v>
      </c>
      <c r="I330" t="s">
        <v>21</v>
      </c>
      <c r="J330">
        <v>1260</v>
      </c>
      <c r="K330">
        <v>4</v>
      </c>
      <c r="L330">
        <v>2</v>
      </c>
      <c r="M330">
        <v>-1</v>
      </c>
      <c r="N330">
        <v>225</v>
      </c>
      <c r="O330">
        <v>93.65</v>
      </c>
      <c r="P330">
        <v>7.4300000000000002E-7</v>
      </c>
      <c r="Q330">
        <v>750</v>
      </c>
      <c r="R330">
        <v>48</v>
      </c>
      <c r="S330">
        <v>0</v>
      </c>
      <c r="T330">
        <v>0</v>
      </c>
      <c r="U330">
        <v>2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</row>
    <row r="331" spans="1:29" x14ac:dyDescent="0.3">
      <c r="A331" t="s">
        <v>284</v>
      </c>
      <c r="B331" t="s">
        <v>139</v>
      </c>
      <c r="C331" t="s">
        <v>9</v>
      </c>
      <c r="D331">
        <v>25</v>
      </c>
      <c r="E331">
        <v>76</v>
      </c>
      <c r="F331">
        <v>2</v>
      </c>
      <c r="G331">
        <v>0</v>
      </c>
      <c r="H331">
        <v>0</v>
      </c>
      <c r="I331" t="s">
        <v>21</v>
      </c>
      <c r="J331">
        <v>950</v>
      </c>
      <c r="K331">
        <v>1</v>
      </c>
      <c r="L331">
        <v>2</v>
      </c>
      <c r="M331">
        <v>-1</v>
      </c>
      <c r="N331">
        <v>291</v>
      </c>
      <c r="O331">
        <v>96.79</v>
      </c>
      <c r="P331">
        <v>2.6300000000000001E-7</v>
      </c>
      <c r="Q331">
        <v>500</v>
      </c>
      <c r="R331">
        <v>6.61</v>
      </c>
      <c r="S331">
        <v>0</v>
      </c>
      <c r="T331">
        <v>0</v>
      </c>
      <c r="U331">
        <v>0</v>
      </c>
      <c r="V331">
        <v>0</v>
      </c>
      <c r="W331">
        <v>4.2300000000000004</v>
      </c>
      <c r="X331">
        <v>0</v>
      </c>
      <c r="Y331">
        <v>1.18</v>
      </c>
      <c r="Z331">
        <v>0.13</v>
      </c>
      <c r="AA331">
        <v>2.5999999999999999E-2</v>
      </c>
      <c r="AB331">
        <v>1.0999999999999999E-2</v>
      </c>
      <c r="AC331">
        <v>3.0000000000000001E-3</v>
      </c>
    </row>
    <row r="332" spans="1:29" x14ac:dyDescent="0.3">
      <c r="A332" t="s">
        <v>285</v>
      </c>
      <c r="B332" t="s">
        <v>139</v>
      </c>
      <c r="C332" t="s">
        <v>9</v>
      </c>
      <c r="D332">
        <v>25</v>
      </c>
      <c r="E332">
        <v>76</v>
      </c>
      <c r="F332">
        <v>2</v>
      </c>
      <c r="G332">
        <v>0</v>
      </c>
      <c r="H332">
        <v>0</v>
      </c>
      <c r="I332" t="s">
        <v>21</v>
      </c>
      <c r="J332">
        <v>720</v>
      </c>
      <c r="K332">
        <v>2</v>
      </c>
      <c r="L332">
        <v>2</v>
      </c>
      <c r="M332">
        <v>-1</v>
      </c>
      <c r="N332">
        <v>620.5</v>
      </c>
      <c r="O332">
        <v>100</v>
      </c>
      <c r="P332">
        <v>1.6600000000000001E-9</v>
      </c>
      <c r="Q332">
        <v>315</v>
      </c>
      <c r="R332">
        <v>5.9</v>
      </c>
      <c r="S332">
        <v>0</v>
      </c>
      <c r="T332">
        <v>0</v>
      </c>
      <c r="U332">
        <v>0</v>
      </c>
      <c r="V332">
        <v>0</v>
      </c>
      <c r="W332">
        <v>3.9</v>
      </c>
      <c r="X332">
        <v>0</v>
      </c>
      <c r="Y332">
        <v>0.17</v>
      </c>
      <c r="Z332">
        <v>0.246</v>
      </c>
      <c r="AA332">
        <v>2.9000000000000001E-2</v>
      </c>
      <c r="AB332">
        <v>3.0999999999999999E-3</v>
      </c>
      <c r="AC332">
        <v>3.0999999999999999E-3</v>
      </c>
    </row>
    <row r="333" spans="1:29" x14ac:dyDescent="0.3">
      <c r="A333" t="s">
        <v>286</v>
      </c>
      <c r="B333" t="s">
        <v>139</v>
      </c>
      <c r="C333" t="s">
        <v>9</v>
      </c>
      <c r="D333">
        <v>25</v>
      </c>
      <c r="E333">
        <v>76</v>
      </c>
      <c r="F333">
        <v>2</v>
      </c>
      <c r="G333">
        <v>945</v>
      </c>
      <c r="H333">
        <v>2</v>
      </c>
      <c r="I333" t="s">
        <v>21</v>
      </c>
      <c r="J333">
        <v>700</v>
      </c>
      <c r="K333">
        <v>2</v>
      </c>
      <c r="L333">
        <v>2</v>
      </c>
      <c r="M333">
        <v>-1</v>
      </c>
      <c r="N333">
        <v>150</v>
      </c>
      <c r="O333">
        <v>100</v>
      </c>
      <c r="P333">
        <v>4.3000000000000002E-5</v>
      </c>
      <c r="Q333">
        <v>600</v>
      </c>
      <c r="R333">
        <v>5.78</v>
      </c>
      <c r="S333">
        <v>4.01</v>
      </c>
      <c r="T333">
        <v>3.71</v>
      </c>
      <c r="U333">
        <v>0.55000000000000004</v>
      </c>
      <c r="V333">
        <v>0.72</v>
      </c>
      <c r="W333">
        <v>0</v>
      </c>
      <c r="X333">
        <v>0.3</v>
      </c>
      <c r="Y333">
        <v>0</v>
      </c>
      <c r="Z333">
        <v>0.09</v>
      </c>
      <c r="AA333">
        <v>0.06</v>
      </c>
      <c r="AB333">
        <v>7.0000000000000001E-3</v>
      </c>
      <c r="AC333">
        <v>0</v>
      </c>
    </row>
    <row r="334" spans="1:29" x14ac:dyDescent="0.3">
      <c r="A334" t="s">
        <v>287</v>
      </c>
      <c r="B334" t="s">
        <v>139</v>
      </c>
      <c r="C334" t="s">
        <v>9</v>
      </c>
      <c r="D334">
        <v>25</v>
      </c>
      <c r="E334">
        <v>76</v>
      </c>
      <c r="F334">
        <v>2</v>
      </c>
      <c r="G334">
        <v>995</v>
      </c>
      <c r="H334">
        <v>2</v>
      </c>
      <c r="I334" t="s">
        <v>21</v>
      </c>
      <c r="J334">
        <v>700</v>
      </c>
      <c r="K334">
        <v>2</v>
      </c>
      <c r="L334">
        <v>2</v>
      </c>
      <c r="M334">
        <v>-1</v>
      </c>
      <c r="N334">
        <v>150</v>
      </c>
      <c r="O334">
        <v>100</v>
      </c>
      <c r="P334">
        <v>2.4000000000000001E-5</v>
      </c>
      <c r="Q334">
        <v>600</v>
      </c>
      <c r="R334">
        <v>5.78</v>
      </c>
      <c r="S334">
        <v>4.01</v>
      </c>
      <c r="T334">
        <v>3.71</v>
      </c>
      <c r="U334">
        <v>0.55000000000000004</v>
      </c>
      <c r="V334">
        <v>0.72</v>
      </c>
      <c r="W334">
        <v>0</v>
      </c>
      <c r="X334">
        <v>0.3</v>
      </c>
      <c r="Y334">
        <v>0</v>
      </c>
      <c r="Z334">
        <v>0.09</v>
      </c>
      <c r="AA334">
        <v>0.06</v>
      </c>
      <c r="AB334">
        <v>7.0000000000000001E-3</v>
      </c>
      <c r="AC334">
        <v>0</v>
      </c>
    </row>
    <row r="335" spans="1:29" x14ac:dyDescent="0.3">
      <c r="A335" t="s">
        <v>288</v>
      </c>
      <c r="B335" t="s">
        <v>139</v>
      </c>
      <c r="C335" t="s">
        <v>9</v>
      </c>
      <c r="D335">
        <v>25</v>
      </c>
      <c r="E335">
        <v>76</v>
      </c>
      <c r="F335">
        <v>2</v>
      </c>
      <c r="G335">
        <v>1025</v>
      </c>
      <c r="H335">
        <v>2</v>
      </c>
      <c r="I335" t="s">
        <v>21</v>
      </c>
      <c r="J335">
        <v>700</v>
      </c>
      <c r="K335">
        <v>2</v>
      </c>
      <c r="L335">
        <v>2</v>
      </c>
      <c r="M335">
        <v>-1</v>
      </c>
      <c r="N335">
        <v>150</v>
      </c>
      <c r="O335">
        <v>100</v>
      </c>
      <c r="P335">
        <v>1.8E-5</v>
      </c>
      <c r="Q335">
        <v>600</v>
      </c>
      <c r="R335">
        <v>5.78</v>
      </c>
      <c r="S335">
        <v>4.01</v>
      </c>
      <c r="T335">
        <v>3.71</v>
      </c>
      <c r="U335">
        <v>0.55000000000000004</v>
      </c>
      <c r="V335">
        <v>0.72</v>
      </c>
      <c r="W335">
        <v>0</v>
      </c>
      <c r="X335">
        <v>0.3</v>
      </c>
      <c r="Y335">
        <v>0</v>
      </c>
      <c r="Z335">
        <v>0.09</v>
      </c>
      <c r="AA335">
        <v>0.06</v>
      </c>
      <c r="AB335">
        <v>7.0000000000000001E-3</v>
      </c>
      <c r="AC335">
        <v>0</v>
      </c>
    </row>
    <row r="336" spans="1:29" x14ac:dyDescent="0.3">
      <c r="A336" t="s">
        <v>289</v>
      </c>
      <c r="B336" t="s">
        <v>139</v>
      </c>
      <c r="C336" t="s">
        <v>9</v>
      </c>
      <c r="D336">
        <v>25</v>
      </c>
      <c r="E336">
        <v>76</v>
      </c>
      <c r="F336">
        <v>2</v>
      </c>
      <c r="G336">
        <v>1055</v>
      </c>
      <c r="H336">
        <v>2</v>
      </c>
      <c r="I336" t="s">
        <v>21</v>
      </c>
      <c r="J336">
        <v>700</v>
      </c>
      <c r="K336">
        <v>2</v>
      </c>
      <c r="L336">
        <v>2</v>
      </c>
      <c r="M336">
        <v>-1</v>
      </c>
      <c r="N336">
        <v>150</v>
      </c>
      <c r="O336">
        <v>100</v>
      </c>
      <c r="P336">
        <v>5.2000000000000002E-6</v>
      </c>
      <c r="Q336">
        <v>600</v>
      </c>
      <c r="R336">
        <v>5.78</v>
      </c>
      <c r="S336">
        <v>4.01</v>
      </c>
      <c r="T336">
        <v>3.71</v>
      </c>
      <c r="U336">
        <v>0.55000000000000004</v>
      </c>
      <c r="V336">
        <v>0.72</v>
      </c>
      <c r="W336">
        <v>0</v>
      </c>
      <c r="X336">
        <v>0.3</v>
      </c>
      <c r="Y336">
        <v>0</v>
      </c>
      <c r="Z336">
        <v>0.09</v>
      </c>
      <c r="AA336">
        <v>0.06</v>
      </c>
      <c r="AB336">
        <v>7.0000000000000001E-3</v>
      </c>
      <c r="AC336">
        <v>0</v>
      </c>
    </row>
    <row r="337" spans="1:29" x14ac:dyDescent="0.3">
      <c r="A337" t="s">
        <v>290</v>
      </c>
      <c r="B337" t="s">
        <v>139</v>
      </c>
      <c r="C337" t="s">
        <v>9</v>
      </c>
      <c r="D337">
        <v>25</v>
      </c>
      <c r="E337">
        <v>76</v>
      </c>
      <c r="F337">
        <v>2</v>
      </c>
      <c r="G337">
        <v>945</v>
      </c>
      <c r="H337">
        <v>2</v>
      </c>
      <c r="I337" t="s">
        <v>21</v>
      </c>
      <c r="J337">
        <v>700</v>
      </c>
      <c r="K337">
        <v>2</v>
      </c>
      <c r="L337">
        <v>2</v>
      </c>
      <c r="M337">
        <v>-1</v>
      </c>
      <c r="N337">
        <v>150</v>
      </c>
      <c r="O337">
        <v>100</v>
      </c>
      <c r="P337">
        <v>6.8000000000000001E-6</v>
      </c>
      <c r="Q337">
        <v>600</v>
      </c>
      <c r="R337">
        <v>5.8</v>
      </c>
      <c r="S337">
        <v>3.98</v>
      </c>
      <c r="T337">
        <v>3.74</v>
      </c>
      <c r="U337">
        <v>0.56999999999999995</v>
      </c>
      <c r="V337">
        <v>0.71</v>
      </c>
      <c r="W337">
        <v>0</v>
      </c>
      <c r="X337">
        <v>0.28000000000000003</v>
      </c>
      <c r="Y337">
        <v>0</v>
      </c>
      <c r="Z337">
        <v>0.08</v>
      </c>
      <c r="AA337">
        <v>0.06</v>
      </c>
      <c r="AB337">
        <v>8.0000000000000002E-3</v>
      </c>
      <c r="AC337">
        <v>0</v>
      </c>
    </row>
    <row r="338" spans="1:29" x14ac:dyDescent="0.3">
      <c r="A338" t="s">
        <v>291</v>
      </c>
      <c r="B338" t="s">
        <v>139</v>
      </c>
      <c r="C338" t="s">
        <v>9</v>
      </c>
      <c r="D338">
        <v>25</v>
      </c>
      <c r="E338">
        <v>76</v>
      </c>
      <c r="F338">
        <v>2</v>
      </c>
      <c r="G338">
        <v>995</v>
      </c>
      <c r="H338">
        <v>2</v>
      </c>
      <c r="I338" t="s">
        <v>21</v>
      </c>
      <c r="J338">
        <v>700</v>
      </c>
      <c r="K338">
        <v>2</v>
      </c>
      <c r="L338">
        <v>2</v>
      </c>
      <c r="M338">
        <v>-1</v>
      </c>
      <c r="N338">
        <v>150</v>
      </c>
      <c r="O338">
        <v>100</v>
      </c>
      <c r="P338">
        <v>4.6E-6</v>
      </c>
      <c r="Q338">
        <v>600</v>
      </c>
      <c r="R338">
        <v>5.8</v>
      </c>
      <c r="S338">
        <v>3.98</v>
      </c>
      <c r="T338">
        <v>3.74</v>
      </c>
      <c r="U338">
        <v>0.56999999999999995</v>
      </c>
      <c r="V338">
        <v>0.71</v>
      </c>
      <c r="W338">
        <v>0</v>
      </c>
      <c r="X338">
        <v>0.28000000000000003</v>
      </c>
      <c r="Y338">
        <v>0</v>
      </c>
      <c r="Z338">
        <v>0.08</v>
      </c>
      <c r="AA338">
        <v>0.06</v>
      </c>
      <c r="AB338">
        <v>8.0000000000000002E-3</v>
      </c>
      <c r="AC338">
        <v>0</v>
      </c>
    </row>
    <row r="339" spans="1:29" x14ac:dyDescent="0.3">
      <c r="A339" t="s">
        <v>292</v>
      </c>
      <c r="B339" t="s">
        <v>139</v>
      </c>
      <c r="C339" t="s">
        <v>9</v>
      </c>
      <c r="D339">
        <v>25</v>
      </c>
      <c r="E339">
        <v>76</v>
      </c>
      <c r="F339">
        <v>2</v>
      </c>
      <c r="G339">
        <v>1025</v>
      </c>
      <c r="H339">
        <v>2</v>
      </c>
      <c r="I339" t="s">
        <v>21</v>
      </c>
      <c r="J339">
        <v>700</v>
      </c>
      <c r="K339">
        <v>2</v>
      </c>
      <c r="L339">
        <v>2</v>
      </c>
      <c r="M339">
        <v>-1</v>
      </c>
      <c r="N339">
        <v>150</v>
      </c>
      <c r="O339">
        <v>100</v>
      </c>
      <c r="P339">
        <v>2.3999999999999999E-6</v>
      </c>
      <c r="Q339">
        <v>600</v>
      </c>
      <c r="R339">
        <v>5.8</v>
      </c>
      <c r="S339">
        <v>3.98</v>
      </c>
      <c r="T339">
        <v>3.74</v>
      </c>
      <c r="U339">
        <v>0.56999999999999995</v>
      </c>
      <c r="V339">
        <v>0.71</v>
      </c>
      <c r="W339">
        <v>0</v>
      </c>
      <c r="X339">
        <v>0.28000000000000003</v>
      </c>
      <c r="Y339">
        <v>0</v>
      </c>
      <c r="Z339">
        <v>0.08</v>
      </c>
      <c r="AA339">
        <v>0.06</v>
      </c>
      <c r="AB339">
        <v>8.0000000000000002E-3</v>
      </c>
      <c r="AC339">
        <v>0</v>
      </c>
    </row>
    <row r="340" spans="1:29" x14ac:dyDescent="0.3">
      <c r="A340" t="s">
        <v>293</v>
      </c>
      <c r="B340" t="s">
        <v>139</v>
      </c>
      <c r="C340" t="s">
        <v>9</v>
      </c>
      <c r="D340">
        <v>25</v>
      </c>
      <c r="E340">
        <v>76</v>
      </c>
      <c r="F340">
        <v>2</v>
      </c>
      <c r="G340">
        <v>1055</v>
      </c>
      <c r="H340">
        <v>2</v>
      </c>
      <c r="I340" t="s">
        <v>21</v>
      </c>
      <c r="J340">
        <v>700</v>
      </c>
      <c r="K340">
        <v>2</v>
      </c>
      <c r="L340">
        <v>2</v>
      </c>
      <c r="M340">
        <v>-1</v>
      </c>
      <c r="N340">
        <v>150</v>
      </c>
      <c r="O340">
        <v>100</v>
      </c>
      <c r="P340">
        <v>6.0999999999999998E-7</v>
      </c>
      <c r="Q340">
        <v>600</v>
      </c>
      <c r="R340">
        <v>5.8</v>
      </c>
      <c r="S340">
        <v>3.98</v>
      </c>
      <c r="T340">
        <v>3.74</v>
      </c>
      <c r="U340">
        <v>0.56999999999999995</v>
      </c>
      <c r="V340">
        <v>0.71</v>
      </c>
      <c r="W340">
        <v>0</v>
      </c>
      <c r="X340">
        <v>0.28000000000000003</v>
      </c>
      <c r="Y340">
        <v>0</v>
      </c>
      <c r="Z340">
        <v>0.08</v>
      </c>
      <c r="AA340">
        <v>0.06</v>
      </c>
      <c r="AB340">
        <v>8.0000000000000002E-3</v>
      </c>
      <c r="AC340">
        <v>0</v>
      </c>
    </row>
    <row r="341" spans="1:29" x14ac:dyDescent="0.3">
      <c r="A341" t="s">
        <v>294</v>
      </c>
      <c r="B341" t="s">
        <v>139</v>
      </c>
      <c r="C341" t="s">
        <v>9</v>
      </c>
      <c r="D341">
        <v>25</v>
      </c>
      <c r="E341">
        <v>76</v>
      </c>
      <c r="F341">
        <v>2</v>
      </c>
      <c r="G341">
        <v>690</v>
      </c>
      <c r="H341">
        <v>4</v>
      </c>
      <c r="I341" t="s">
        <v>21</v>
      </c>
      <c r="J341">
        <v>1050</v>
      </c>
      <c r="K341">
        <v>0.5</v>
      </c>
      <c r="L341">
        <v>2</v>
      </c>
      <c r="M341">
        <v>-1</v>
      </c>
      <c r="N341">
        <v>125</v>
      </c>
      <c r="O341">
        <v>102.12</v>
      </c>
      <c r="P341">
        <v>3.8799999999999998E-7</v>
      </c>
      <c r="Q341">
        <v>600</v>
      </c>
      <c r="R341">
        <v>6.75</v>
      </c>
      <c r="S341">
        <v>0</v>
      </c>
      <c r="T341">
        <v>0</v>
      </c>
      <c r="U341">
        <v>0</v>
      </c>
      <c r="V341">
        <v>0</v>
      </c>
      <c r="W341">
        <v>4.5</v>
      </c>
      <c r="X341">
        <v>0</v>
      </c>
      <c r="Y341">
        <v>0.4</v>
      </c>
      <c r="Z341">
        <v>0.2</v>
      </c>
      <c r="AA341">
        <v>0.1</v>
      </c>
      <c r="AB341">
        <v>0.05</v>
      </c>
      <c r="AC341">
        <v>0.125</v>
      </c>
    </row>
    <row r="342" spans="1:29" x14ac:dyDescent="0.3">
      <c r="A342" t="s">
        <v>295</v>
      </c>
      <c r="B342" t="s">
        <v>139</v>
      </c>
      <c r="C342" t="s">
        <v>9</v>
      </c>
      <c r="D342">
        <v>25</v>
      </c>
      <c r="E342">
        <v>76</v>
      </c>
      <c r="F342">
        <v>2</v>
      </c>
      <c r="G342">
        <v>1050</v>
      </c>
      <c r="H342">
        <v>0.5</v>
      </c>
      <c r="I342" t="s">
        <v>21</v>
      </c>
      <c r="J342">
        <v>550</v>
      </c>
      <c r="K342">
        <v>24</v>
      </c>
      <c r="L342">
        <v>2</v>
      </c>
      <c r="M342">
        <v>-1</v>
      </c>
      <c r="N342">
        <v>300</v>
      </c>
      <c r="O342">
        <v>105.196002816806</v>
      </c>
      <c r="P342">
        <v>1.4399999999999999E-7</v>
      </c>
      <c r="Q342">
        <v>500</v>
      </c>
      <c r="R342">
        <v>6</v>
      </c>
      <c r="S342">
        <v>0</v>
      </c>
      <c r="T342">
        <v>5</v>
      </c>
      <c r="U342">
        <v>0</v>
      </c>
      <c r="V342">
        <v>0.5</v>
      </c>
      <c r="W342">
        <v>0</v>
      </c>
      <c r="X342">
        <v>0.25</v>
      </c>
      <c r="Y342">
        <v>0</v>
      </c>
      <c r="Z342">
        <v>0</v>
      </c>
      <c r="AA342">
        <v>0</v>
      </c>
      <c r="AB342">
        <v>0</v>
      </c>
      <c r="AC342">
        <v>0</v>
      </c>
    </row>
    <row r="343" spans="1:29" x14ac:dyDescent="0.3">
      <c r="A343" t="s">
        <v>296</v>
      </c>
      <c r="B343" t="s">
        <v>139</v>
      </c>
      <c r="C343" t="s">
        <v>9</v>
      </c>
      <c r="D343">
        <v>25</v>
      </c>
      <c r="E343">
        <v>76</v>
      </c>
      <c r="F343">
        <v>2</v>
      </c>
      <c r="G343">
        <v>0</v>
      </c>
      <c r="H343">
        <v>0</v>
      </c>
      <c r="I343" t="s">
        <v>21</v>
      </c>
      <c r="J343">
        <v>940</v>
      </c>
      <c r="K343">
        <v>4</v>
      </c>
      <c r="L343">
        <v>2</v>
      </c>
      <c r="M343">
        <v>-1</v>
      </c>
      <c r="N343">
        <v>489</v>
      </c>
      <c r="O343">
        <v>107</v>
      </c>
      <c r="P343">
        <v>1.5800000000000001E-5</v>
      </c>
      <c r="Q343">
        <v>455</v>
      </c>
      <c r="R343">
        <v>6.51</v>
      </c>
      <c r="S343">
        <v>0</v>
      </c>
      <c r="T343">
        <v>0</v>
      </c>
      <c r="U343">
        <v>0</v>
      </c>
      <c r="V343">
        <v>0</v>
      </c>
      <c r="W343">
        <v>4.08</v>
      </c>
      <c r="X343">
        <v>0</v>
      </c>
      <c r="Y343">
        <v>0.16</v>
      </c>
      <c r="Z343">
        <v>0.19</v>
      </c>
      <c r="AA343">
        <v>0.01</v>
      </c>
      <c r="AB343">
        <v>5.0000000000000001E-3</v>
      </c>
      <c r="AC343">
        <v>1.6000000000000001E-3</v>
      </c>
    </row>
    <row r="344" spans="1:29" x14ac:dyDescent="0.3">
      <c r="A344" t="s">
        <v>297</v>
      </c>
      <c r="B344" t="s">
        <v>139</v>
      </c>
      <c r="C344" t="s">
        <v>9</v>
      </c>
      <c r="D344">
        <v>25</v>
      </c>
      <c r="E344">
        <v>76</v>
      </c>
      <c r="F344">
        <v>2</v>
      </c>
      <c r="G344">
        <v>1050</v>
      </c>
      <c r="H344">
        <v>0.5</v>
      </c>
      <c r="I344" t="s">
        <v>21</v>
      </c>
      <c r="J344">
        <v>550</v>
      </c>
      <c r="K344">
        <v>24</v>
      </c>
      <c r="L344">
        <v>2</v>
      </c>
      <c r="M344">
        <v>-1</v>
      </c>
      <c r="N344">
        <v>300</v>
      </c>
      <c r="O344">
        <v>113.76085644344499</v>
      </c>
      <c r="P344">
        <v>9.2700000000000003E-8</v>
      </c>
      <c r="Q344">
        <v>500</v>
      </c>
      <c r="R344">
        <v>6</v>
      </c>
      <c r="S344">
        <v>0</v>
      </c>
      <c r="T344">
        <v>5</v>
      </c>
      <c r="U344">
        <v>0</v>
      </c>
      <c r="V344">
        <v>0.5</v>
      </c>
      <c r="W344">
        <v>0</v>
      </c>
      <c r="X344">
        <v>0.25</v>
      </c>
      <c r="Y344">
        <v>0</v>
      </c>
      <c r="Z344">
        <v>0</v>
      </c>
      <c r="AA344">
        <v>0</v>
      </c>
      <c r="AB344">
        <v>0</v>
      </c>
      <c r="AC344">
        <v>0</v>
      </c>
    </row>
    <row r="345" spans="1:29" x14ac:dyDescent="0.3">
      <c r="A345" t="s">
        <v>298</v>
      </c>
      <c r="B345" t="s">
        <v>139</v>
      </c>
      <c r="C345" t="s">
        <v>9</v>
      </c>
      <c r="D345">
        <v>25</v>
      </c>
      <c r="E345">
        <v>76</v>
      </c>
      <c r="F345">
        <v>2</v>
      </c>
      <c r="G345">
        <v>0</v>
      </c>
      <c r="H345">
        <v>0</v>
      </c>
      <c r="I345" t="s">
        <v>21</v>
      </c>
      <c r="J345">
        <v>1260</v>
      </c>
      <c r="K345">
        <v>4</v>
      </c>
      <c r="L345">
        <v>2</v>
      </c>
      <c r="M345">
        <v>-1</v>
      </c>
      <c r="N345">
        <v>250</v>
      </c>
      <c r="O345">
        <v>118.15</v>
      </c>
      <c r="P345">
        <v>7.8199999999999999E-7</v>
      </c>
      <c r="Q345">
        <v>750</v>
      </c>
      <c r="R345">
        <v>48</v>
      </c>
      <c r="S345">
        <v>0</v>
      </c>
      <c r="T345">
        <v>0</v>
      </c>
      <c r="U345">
        <v>2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</row>
    <row r="346" spans="1:29" x14ac:dyDescent="0.3">
      <c r="A346" t="s">
        <v>299</v>
      </c>
      <c r="B346" t="s">
        <v>139</v>
      </c>
      <c r="C346" t="s">
        <v>9</v>
      </c>
      <c r="D346">
        <v>25</v>
      </c>
      <c r="E346">
        <v>76</v>
      </c>
      <c r="F346">
        <v>2</v>
      </c>
      <c r="G346">
        <v>0</v>
      </c>
      <c r="H346">
        <v>0</v>
      </c>
      <c r="I346" t="s">
        <v>21</v>
      </c>
      <c r="J346">
        <v>993</v>
      </c>
      <c r="K346">
        <v>2</v>
      </c>
      <c r="L346">
        <v>2</v>
      </c>
      <c r="M346">
        <v>-1</v>
      </c>
      <c r="N346">
        <v>410.5</v>
      </c>
      <c r="O346">
        <v>128.72999999999999</v>
      </c>
      <c r="P346">
        <v>0</v>
      </c>
      <c r="Q346">
        <v>773</v>
      </c>
      <c r="R346">
        <v>6.29</v>
      </c>
      <c r="S346">
        <v>0</v>
      </c>
      <c r="T346">
        <v>0</v>
      </c>
      <c r="U346">
        <v>0</v>
      </c>
      <c r="V346">
        <v>0</v>
      </c>
      <c r="W346">
        <v>4.13</v>
      </c>
      <c r="X346">
        <v>0</v>
      </c>
      <c r="Y346">
        <v>0.19400000000000001</v>
      </c>
      <c r="Z346">
        <v>0.16600000000000001</v>
      </c>
      <c r="AA346">
        <v>5.4999999999999997E-3</v>
      </c>
      <c r="AB346">
        <v>7.7000000000000002E-3</v>
      </c>
      <c r="AC346">
        <v>4.4000000000000003E-3</v>
      </c>
    </row>
    <row r="347" spans="1:29" x14ac:dyDescent="0.3">
      <c r="A347" t="s">
        <v>300</v>
      </c>
      <c r="B347" t="s">
        <v>139</v>
      </c>
      <c r="C347" t="s">
        <v>9</v>
      </c>
      <c r="D347">
        <v>25</v>
      </c>
      <c r="E347">
        <v>76</v>
      </c>
      <c r="F347">
        <v>2</v>
      </c>
      <c r="G347">
        <v>1050</v>
      </c>
      <c r="H347">
        <v>0.5</v>
      </c>
      <c r="I347" t="s">
        <v>21</v>
      </c>
      <c r="J347">
        <v>550</v>
      </c>
      <c r="K347">
        <v>24</v>
      </c>
      <c r="L347">
        <v>2</v>
      </c>
      <c r="M347">
        <v>-1</v>
      </c>
      <c r="N347">
        <v>300</v>
      </c>
      <c r="O347">
        <v>135.825844203749</v>
      </c>
      <c r="P347">
        <v>8.3599999999999994E-8</v>
      </c>
      <c r="Q347">
        <v>500</v>
      </c>
      <c r="R347">
        <v>6</v>
      </c>
      <c r="S347">
        <v>0</v>
      </c>
      <c r="T347">
        <v>5</v>
      </c>
      <c r="U347">
        <v>0</v>
      </c>
      <c r="V347">
        <v>0.5</v>
      </c>
      <c r="W347">
        <v>0</v>
      </c>
      <c r="X347">
        <v>0.25</v>
      </c>
      <c r="Y347">
        <v>0</v>
      </c>
      <c r="Z347">
        <v>0</v>
      </c>
      <c r="AA347">
        <v>0</v>
      </c>
      <c r="AB347">
        <v>0</v>
      </c>
      <c r="AC347">
        <v>0</v>
      </c>
    </row>
    <row r="348" spans="1:29" x14ac:dyDescent="0.3">
      <c r="A348" t="s">
        <v>301</v>
      </c>
      <c r="B348" t="s">
        <v>139</v>
      </c>
      <c r="C348" t="s">
        <v>9</v>
      </c>
      <c r="D348">
        <v>25</v>
      </c>
      <c r="E348">
        <v>76</v>
      </c>
      <c r="F348">
        <v>2</v>
      </c>
      <c r="G348">
        <v>995</v>
      </c>
      <c r="H348">
        <v>2</v>
      </c>
      <c r="I348" t="s">
        <v>21</v>
      </c>
      <c r="J348">
        <v>700</v>
      </c>
      <c r="K348">
        <v>2</v>
      </c>
      <c r="L348">
        <v>2</v>
      </c>
      <c r="M348">
        <v>-1</v>
      </c>
      <c r="N348">
        <v>150</v>
      </c>
      <c r="O348">
        <v>139</v>
      </c>
      <c r="P348">
        <v>0</v>
      </c>
      <c r="Q348">
        <v>600</v>
      </c>
      <c r="R348">
        <v>5.78</v>
      </c>
      <c r="S348">
        <v>4.01</v>
      </c>
      <c r="T348">
        <v>3.71</v>
      </c>
      <c r="U348">
        <v>0.55000000000000004</v>
      </c>
      <c r="V348">
        <v>0.72</v>
      </c>
      <c r="W348">
        <v>0</v>
      </c>
      <c r="X348">
        <v>0.3</v>
      </c>
      <c r="Y348">
        <v>0</v>
      </c>
      <c r="Z348">
        <v>0.09</v>
      </c>
      <c r="AA348">
        <v>0.06</v>
      </c>
      <c r="AB348">
        <v>7.0000000000000001E-3</v>
      </c>
      <c r="AC348">
        <v>0</v>
      </c>
    </row>
    <row r="349" spans="1:29" x14ac:dyDescent="0.3">
      <c r="A349" t="s">
        <v>302</v>
      </c>
      <c r="B349" t="s">
        <v>139</v>
      </c>
      <c r="C349" t="s">
        <v>9</v>
      </c>
      <c r="D349">
        <v>25</v>
      </c>
      <c r="E349">
        <v>76</v>
      </c>
      <c r="F349">
        <v>2</v>
      </c>
      <c r="G349">
        <v>0</v>
      </c>
      <c r="H349">
        <v>0</v>
      </c>
      <c r="I349" t="s">
        <v>21</v>
      </c>
      <c r="J349">
        <v>1260</v>
      </c>
      <c r="K349">
        <v>4</v>
      </c>
      <c r="L349">
        <v>2</v>
      </c>
      <c r="M349">
        <v>-1</v>
      </c>
      <c r="N349">
        <v>275</v>
      </c>
      <c r="O349">
        <v>140.49</v>
      </c>
      <c r="P349">
        <v>8.7499999999999999E-7</v>
      </c>
      <c r="Q349">
        <v>750</v>
      </c>
      <c r="R349">
        <v>48</v>
      </c>
      <c r="S349">
        <v>0</v>
      </c>
      <c r="T349">
        <v>0</v>
      </c>
      <c r="U349">
        <v>2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</row>
    <row r="350" spans="1:29" x14ac:dyDescent="0.3">
      <c r="A350" t="s">
        <v>303</v>
      </c>
      <c r="B350" t="s">
        <v>139</v>
      </c>
      <c r="C350" t="s">
        <v>9</v>
      </c>
      <c r="D350">
        <v>25</v>
      </c>
      <c r="E350">
        <v>76</v>
      </c>
      <c r="F350">
        <v>2</v>
      </c>
      <c r="G350">
        <v>0</v>
      </c>
      <c r="H350">
        <v>0</v>
      </c>
      <c r="I350" t="s">
        <v>21</v>
      </c>
      <c r="J350">
        <v>900</v>
      </c>
      <c r="K350">
        <v>2</v>
      </c>
      <c r="L350">
        <v>2</v>
      </c>
      <c r="M350">
        <v>-1</v>
      </c>
      <c r="N350">
        <v>300</v>
      </c>
      <c r="O350">
        <v>148.33000000000001</v>
      </c>
      <c r="P350">
        <v>4.7199999999999999E-8</v>
      </c>
      <c r="Q350">
        <v>475</v>
      </c>
      <c r="R350">
        <v>6</v>
      </c>
      <c r="S350">
        <v>0</v>
      </c>
      <c r="T350">
        <v>0</v>
      </c>
      <c r="U350">
        <v>0</v>
      </c>
      <c r="V350">
        <v>0</v>
      </c>
      <c r="W350">
        <v>4</v>
      </c>
      <c r="X350">
        <v>0</v>
      </c>
      <c r="Y350">
        <v>0.25</v>
      </c>
      <c r="Z350">
        <v>0.2</v>
      </c>
      <c r="AA350">
        <v>0.08</v>
      </c>
      <c r="AB350">
        <v>0.05</v>
      </c>
      <c r="AC350">
        <v>0.01</v>
      </c>
    </row>
    <row r="351" spans="1:29" x14ac:dyDescent="0.3">
      <c r="A351" t="s">
        <v>304</v>
      </c>
      <c r="B351" t="s">
        <v>139</v>
      </c>
      <c r="C351" t="s">
        <v>9</v>
      </c>
      <c r="D351">
        <v>25</v>
      </c>
      <c r="E351">
        <v>76</v>
      </c>
      <c r="F351">
        <v>2</v>
      </c>
      <c r="G351">
        <v>980</v>
      </c>
      <c r="H351">
        <v>0</v>
      </c>
      <c r="I351" t="s">
        <v>21</v>
      </c>
      <c r="J351">
        <v>480</v>
      </c>
      <c r="K351">
        <v>24</v>
      </c>
      <c r="L351">
        <v>2</v>
      </c>
      <c r="M351">
        <v>-1</v>
      </c>
      <c r="N351">
        <v>575</v>
      </c>
      <c r="O351">
        <v>151.5</v>
      </c>
      <c r="P351">
        <v>1.3300000000000001E-7</v>
      </c>
      <c r="Q351">
        <v>420</v>
      </c>
      <c r="R351">
        <v>6.33</v>
      </c>
      <c r="S351">
        <v>0</v>
      </c>
      <c r="T351">
        <v>0</v>
      </c>
      <c r="U351">
        <v>0</v>
      </c>
      <c r="V351">
        <v>0</v>
      </c>
      <c r="W351">
        <v>4</v>
      </c>
      <c r="X351">
        <v>0</v>
      </c>
      <c r="Y351">
        <v>0.2</v>
      </c>
      <c r="Z351">
        <v>0.17</v>
      </c>
      <c r="AA351">
        <v>0.03</v>
      </c>
      <c r="AB351">
        <v>0.01</v>
      </c>
      <c r="AC351">
        <v>4.0000000000000001E-3</v>
      </c>
    </row>
    <row r="352" spans="1:29" x14ac:dyDescent="0.3">
      <c r="A352" t="s">
        <v>305</v>
      </c>
      <c r="B352" t="s">
        <v>139</v>
      </c>
      <c r="C352" t="s">
        <v>9</v>
      </c>
      <c r="D352">
        <v>25</v>
      </c>
      <c r="E352">
        <v>76</v>
      </c>
      <c r="F352">
        <v>2</v>
      </c>
      <c r="G352">
        <v>0</v>
      </c>
      <c r="H352">
        <v>0</v>
      </c>
      <c r="I352" t="s">
        <v>21</v>
      </c>
      <c r="J352">
        <v>900</v>
      </c>
      <c r="K352">
        <v>2</v>
      </c>
      <c r="L352">
        <v>2</v>
      </c>
      <c r="M352">
        <v>-1</v>
      </c>
      <c r="N352">
        <v>300</v>
      </c>
      <c r="O352">
        <v>154.72</v>
      </c>
      <c r="P352">
        <v>1.36E-7</v>
      </c>
      <c r="Q352">
        <v>500</v>
      </c>
      <c r="R352">
        <v>6</v>
      </c>
      <c r="S352">
        <v>0</v>
      </c>
      <c r="T352">
        <v>0</v>
      </c>
      <c r="U352">
        <v>0</v>
      </c>
      <c r="V352">
        <v>0</v>
      </c>
      <c r="W352">
        <v>4</v>
      </c>
      <c r="X352">
        <v>0</v>
      </c>
      <c r="Y352">
        <v>0.25</v>
      </c>
      <c r="Z352">
        <v>0.2</v>
      </c>
      <c r="AA352">
        <v>0.08</v>
      </c>
      <c r="AB352">
        <v>0.05</v>
      </c>
      <c r="AC352">
        <v>0.01</v>
      </c>
    </row>
    <row r="353" spans="1:29" x14ac:dyDescent="0.3">
      <c r="A353" t="s">
        <v>306</v>
      </c>
      <c r="B353" t="s">
        <v>139</v>
      </c>
      <c r="C353" t="s">
        <v>9</v>
      </c>
      <c r="D353">
        <v>25</v>
      </c>
      <c r="E353">
        <v>76</v>
      </c>
      <c r="F353">
        <v>2</v>
      </c>
      <c r="G353">
        <v>945</v>
      </c>
      <c r="H353">
        <v>2</v>
      </c>
      <c r="I353" t="s">
        <v>21</v>
      </c>
      <c r="J353">
        <v>700</v>
      </c>
      <c r="K353">
        <v>2</v>
      </c>
      <c r="L353">
        <v>2</v>
      </c>
      <c r="M353">
        <v>-1</v>
      </c>
      <c r="N353">
        <v>150</v>
      </c>
      <c r="O353">
        <v>155</v>
      </c>
      <c r="P353">
        <v>0</v>
      </c>
      <c r="Q353">
        <v>600</v>
      </c>
      <c r="R353">
        <v>5.78</v>
      </c>
      <c r="S353">
        <v>4.01</v>
      </c>
      <c r="T353">
        <v>3.71</v>
      </c>
      <c r="U353">
        <v>0.55000000000000004</v>
      </c>
      <c r="V353">
        <v>0.72</v>
      </c>
      <c r="W353">
        <v>0</v>
      </c>
      <c r="X353">
        <v>0.3</v>
      </c>
      <c r="Y353">
        <v>0</v>
      </c>
      <c r="Z353">
        <v>0.09</v>
      </c>
      <c r="AA353">
        <v>0.06</v>
      </c>
      <c r="AB353">
        <v>7.0000000000000001E-3</v>
      </c>
      <c r="AC353">
        <v>0</v>
      </c>
    </row>
    <row r="354" spans="1:29" x14ac:dyDescent="0.3">
      <c r="A354" t="s">
        <v>307</v>
      </c>
      <c r="B354" t="s">
        <v>139</v>
      </c>
      <c r="C354" t="s">
        <v>9</v>
      </c>
      <c r="D354">
        <v>25</v>
      </c>
      <c r="E354">
        <v>76</v>
      </c>
      <c r="F354">
        <v>2</v>
      </c>
      <c r="G354">
        <v>1050</v>
      </c>
      <c r="H354">
        <v>0.5</v>
      </c>
      <c r="I354" t="s">
        <v>21</v>
      </c>
      <c r="J354">
        <v>950</v>
      </c>
      <c r="K354">
        <v>1</v>
      </c>
      <c r="L354">
        <v>2</v>
      </c>
      <c r="M354">
        <v>-1</v>
      </c>
      <c r="N354">
        <v>291</v>
      </c>
      <c r="O354">
        <v>165</v>
      </c>
      <c r="P354">
        <v>4.7799999999999996E-9</v>
      </c>
      <c r="Q354">
        <v>500</v>
      </c>
      <c r="R354">
        <v>6.61</v>
      </c>
      <c r="S354">
        <v>0</v>
      </c>
      <c r="T354">
        <v>0</v>
      </c>
      <c r="U354">
        <v>0</v>
      </c>
      <c r="V354">
        <v>0</v>
      </c>
      <c r="W354">
        <v>4.2300000000000004</v>
      </c>
      <c r="X354">
        <v>0</v>
      </c>
      <c r="Y354">
        <v>1.18</v>
      </c>
      <c r="Z354">
        <v>0.13</v>
      </c>
      <c r="AA354">
        <v>2.5999999999999999E-2</v>
      </c>
      <c r="AB354">
        <v>1.0999999999999999E-2</v>
      </c>
      <c r="AC354">
        <v>3.0000000000000001E-3</v>
      </c>
    </row>
    <row r="355" spans="1:29" x14ac:dyDescent="0.3">
      <c r="A355" t="s">
        <v>308</v>
      </c>
      <c r="B355" t="s">
        <v>139</v>
      </c>
      <c r="C355" t="s">
        <v>9</v>
      </c>
      <c r="D355">
        <v>25</v>
      </c>
      <c r="E355">
        <v>76</v>
      </c>
      <c r="F355">
        <v>2</v>
      </c>
      <c r="G355">
        <v>0</v>
      </c>
      <c r="H355">
        <v>0</v>
      </c>
      <c r="I355" t="s">
        <v>21</v>
      </c>
      <c r="J355">
        <v>1260</v>
      </c>
      <c r="K355">
        <v>4</v>
      </c>
      <c r="L355">
        <v>2</v>
      </c>
      <c r="M355">
        <v>-1</v>
      </c>
      <c r="N355">
        <v>300</v>
      </c>
      <c r="O355">
        <v>165.7</v>
      </c>
      <c r="P355">
        <v>8.9500000000000001E-7</v>
      </c>
      <c r="Q355">
        <v>750</v>
      </c>
      <c r="R355">
        <v>48</v>
      </c>
      <c r="S355">
        <v>0</v>
      </c>
      <c r="T355">
        <v>0</v>
      </c>
      <c r="U355">
        <v>2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</row>
    <row r="356" spans="1:29" x14ac:dyDescent="0.3">
      <c r="A356" t="s">
        <v>309</v>
      </c>
      <c r="B356" t="s">
        <v>139</v>
      </c>
      <c r="C356" t="s">
        <v>9</v>
      </c>
      <c r="D356">
        <v>25</v>
      </c>
      <c r="E356">
        <v>76</v>
      </c>
      <c r="F356">
        <v>2</v>
      </c>
      <c r="G356">
        <v>1000</v>
      </c>
      <c r="H356">
        <v>0</v>
      </c>
      <c r="I356" t="s">
        <v>21</v>
      </c>
      <c r="J356">
        <v>480</v>
      </c>
      <c r="K356">
        <v>24</v>
      </c>
      <c r="L356">
        <v>2</v>
      </c>
      <c r="M356">
        <v>-1</v>
      </c>
      <c r="N356">
        <v>575</v>
      </c>
      <c r="O356">
        <v>180</v>
      </c>
      <c r="P356">
        <v>8.8899999999999995E-8</v>
      </c>
      <c r="Q356">
        <v>420</v>
      </c>
      <c r="R356">
        <v>6.33</v>
      </c>
      <c r="S356">
        <v>0</v>
      </c>
      <c r="T356">
        <v>0</v>
      </c>
      <c r="U356">
        <v>0</v>
      </c>
      <c r="V356">
        <v>0</v>
      </c>
      <c r="W356">
        <v>4</v>
      </c>
      <c r="X356">
        <v>0</v>
      </c>
      <c r="Y356">
        <v>0.2</v>
      </c>
      <c r="Z356">
        <v>0.17</v>
      </c>
      <c r="AA356">
        <v>0.03</v>
      </c>
      <c r="AB356">
        <v>0.01</v>
      </c>
      <c r="AC356">
        <v>4.0000000000000001E-3</v>
      </c>
    </row>
    <row r="357" spans="1:29" x14ac:dyDescent="0.3">
      <c r="A357" t="s">
        <v>310</v>
      </c>
      <c r="B357" t="s">
        <v>139</v>
      </c>
      <c r="C357" t="s">
        <v>9</v>
      </c>
      <c r="D357">
        <v>25</v>
      </c>
      <c r="E357">
        <v>76</v>
      </c>
      <c r="F357">
        <v>2</v>
      </c>
      <c r="G357">
        <v>0</v>
      </c>
      <c r="H357">
        <v>0</v>
      </c>
      <c r="I357" t="s">
        <v>21</v>
      </c>
      <c r="J357">
        <v>900</v>
      </c>
      <c r="K357">
        <v>2</v>
      </c>
      <c r="L357">
        <v>2</v>
      </c>
      <c r="M357">
        <v>-1</v>
      </c>
      <c r="N357">
        <v>300</v>
      </c>
      <c r="O357">
        <v>185.27</v>
      </c>
      <c r="P357">
        <v>1.06E-7</v>
      </c>
      <c r="Q357">
        <v>500</v>
      </c>
      <c r="R357">
        <v>6</v>
      </c>
      <c r="S357">
        <v>0</v>
      </c>
      <c r="T357">
        <v>0</v>
      </c>
      <c r="U357">
        <v>0</v>
      </c>
      <c r="V357">
        <v>0</v>
      </c>
      <c r="W357">
        <v>4</v>
      </c>
      <c r="X357">
        <v>0</v>
      </c>
      <c r="Y357">
        <v>0.25</v>
      </c>
      <c r="Z357">
        <v>0.2</v>
      </c>
      <c r="AA357">
        <v>0.08</v>
      </c>
      <c r="AB357">
        <v>0.05</v>
      </c>
      <c r="AC357">
        <v>0.01</v>
      </c>
    </row>
    <row r="358" spans="1:29" x14ac:dyDescent="0.3">
      <c r="A358" t="s">
        <v>311</v>
      </c>
      <c r="B358" t="s">
        <v>139</v>
      </c>
      <c r="C358" t="s">
        <v>9</v>
      </c>
      <c r="D358">
        <v>25</v>
      </c>
      <c r="E358">
        <v>76</v>
      </c>
      <c r="F358">
        <v>2</v>
      </c>
      <c r="G358">
        <v>0</v>
      </c>
      <c r="H358">
        <v>0</v>
      </c>
      <c r="I358" t="s">
        <v>21</v>
      </c>
      <c r="J358">
        <v>1260</v>
      </c>
      <c r="K358">
        <v>4</v>
      </c>
      <c r="L358">
        <v>2</v>
      </c>
      <c r="M358">
        <v>-1</v>
      </c>
      <c r="N358">
        <v>325</v>
      </c>
      <c r="O358">
        <v>192.36</v>
      </c>
      <c r="P358">
        <v>9.0599999999999999E-7</v>
      </c>
      <c r="Q358">
        <v>750</v>
      </c>
      <c r="R358">
        <v>48</v>
      </c>
      <c r="S358">
        <v>0</v>
      </c>
      <c r="T358">
        <v>0</v>
      </c>
      <c r="U358">
        <v>2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</row>
    <row r="359" spans="1:29" x14ac:dyDescent="0.3">
      <c r="A359" t="s">
        <v>312</v>
      </c>
      <c r="B359" t="s">
        <v>139</v>
      </c>
      <c r="C359" t="s">
        <v>9</v>
      </c>
      <c r="D359">
        <v>25</v>
      </c>
      <c r="E359">
        <v>76</v>
      </c>
      <c r="F359">
        <v>2</v>
      </c>
      <c r="G359">
        <v>0</v>
      </c>
      <c r="H359">
        <v>0</v>
      </c>
      <c r="I359" t="s">
        <v>21</v>
      </c>
      <c r="J359">
        <v>1030</v>
      </c>
      <c r="K359">
        <v>0.5</v>
      </c>
      <c r="L359">
        <v>2</v>
      </c>
      <c r="M359">
        <v>-1</v>
      </c>
      <c r="N359">
        <v>489</v>
      </c>
      <c r="O359">
        <v>209</v>
      </c>
      <c r="P359">
        <v>1.03E-5</v>
      </c>
      <c r="Q359">
        <v>455</v>
      </c>
      <c r="R359">
        <v>6.51</v>
      </c>
      <c r="S359">
        <v>0</v>
      </c>
      <c r="T359">
        <v>0</v>
      </c>
      <c r="U359">
        <v>0</v>
      </c>
      <c r="V359">
        <v>0</v>
      </c>
      <c r="W359">
        <v>4.08</v>
      </c>
      <c r="X359">
        <v>0</v>
      </c>
      <c r="Y359">
        <v>0.16</v>
      </c>
      <c r="Z359">
        <v>0.19</v>
      </c>
      <c r="AA359">
        <v>0.01</v>
      </c>
      <c r="AB359">
        <v>5.0000000000000001E-3</v>
      </c>
      <c r="AC359">
        <v>1.6000000000000001E-3</v>
      </c>
    </row>
    <row r="360" spans="1:29" x14ac:dyDescent="0.3">
      <c r="A360" t="s">
        <v>313</v>
      </c>
      <c r="B360" t="s">
        <v>139</v>
      </c>
      <c r="C360" t="s">
        <v>9</v>
      </c>
      <c r="D360">
        <v>25</v>
      </c>
      <c r="E360">
        <v>76</v>
      </c>
      <c r="F360">
        <v>2</v>
      </c>
      <c r="G360">
        <v>1025</v>
      </c>
      <c r="H360">
        <v>2</v>
      </c>
      <c r="I360" t="s">
        <v>21</v>
      </c>
      <c r="J360">
        <v>700</v>
      </c>
      <c r="K360">
        <v>2</v>
      </c>
      <c r="L360">
        <v>2</v>
      </c>
      <c r="M360">
        <v>-1</v>
      </c>
      <c r="N360">
        <v>150</v>
      </c>
      <c r="O360">
        <v>210</v>
      </c>
      <c r="P360">
        <v>0</v>
      </c>
      <c r="Q360">
        <v>600</v>
      </c>
      <c r="R360">
        <v>5.78</v>
      </c>
      <c r="S360">
        <v>4.01</v>
      </c>
      <c r="T360">
        <v>3.71</v>
      </c>
      <c r="U360">
        <v>0.55000000000000004</v>
      </c>
      <c r="V360">
        <v>0.72</v>
      </c>
      <c r="W360">
        <v>0</v>
      </c>
      <c r="X360">
        <v>0.3</v>
      </c>
      <c r="Y360">
        <v>0</v>
      </c>
      <c r="Z360">
        <v>0.09</v>
      </c>
      <c r="AA360">
        <v>0.06</v>
      </c>
      <c r="AB360">
        <v>7.0000000000000001E-3</v>
      </c>
      <c r="AC360">
        <v>0</v>
      </c>
    </row>
    <row r="361" spans="1:29" x14ac:dyDescent="0.3">
      <c r="A361" t="s">
        <v>314</v>
      </c>
      <c r="B361" t="s">
        <v>139</v>
      </c>
      <c r="C361" t="s">
        <v>9</v>
      </c>
      <c r="D361">
        <v>25</v>
      </c>
      <c r="E361">
        <v>76</v>
      </c>
      <c r="F361">
        <v>2</v>
      </c>
      <c r="G361">
        <v>690</v>
      </c>
      <c r="H361">
        <v>4</v>
      </c>
      <c r="I361" t="s">
        <v>21</v>
      </c>
      <c r="J361">
        <v>1050</v>
      </c>
      <c r="K361">
        <v>0.5</v>
      </c>
      <c r="L361">
        <v>2</v>
      </c>
      <c r="M361">
        <v>-1</v>
      </c>
      <c r="N361">
        <v>319</v>
      </c>
      <c r="O361">
        <v>224</v>
      </c>
      <c r="P361">
        <v>9.7199999999999997E-8</v>
      </c>
      <c r="Q361">
        <v>500</v>
      </c>
      <c r="R361">
        <v>6.75</v>
      </c>
      <c r="S361">
        <v>0</v>
      </c>
      <c r="T361">
        <v>0</v>
      </c>
      <c r="U361">
        <v>0</v>
      </c>
      <c r="V361">
        <v>0</v>
      </c>
      <c r="W361">
        <v>4.5</v>
      </c>
      <c r="X361">
        <v>0</v>
      </c>
      <c r="Y361">
        <v>0.4</v>
      </c>
      <c r="Z361">
        <v>0.2</v>
      </c>
      <c r="AA361">
        <v>0.1</v>
      </c>
      <c r="AB361">
        <v>0.05</v>
      </c>
      <c r="AC361">
        <v>0.125</v>
      </c>
    </row>
    <row r="362" spans="1:29" x14ac:dyDescent="0.3">
      <c r="A362" t="s">
        <v>315</v>
      </c>
      <c r="B362" t="s">
        <v>139</v>
      </c>
      <c r="C362" t="s">
        <v>9</v>
      </c>
      <c r="D362">
        <v>25</v>
      </c>
      <c r="E362">
        <v>76</v>
      </c>
      <c r="F362">
        <v>2</v>
      </c>
      <c r="G362">
        <v>1100</v>
      </c>
      <c r="H362">
        <v>0.42</v>
      </c>
      <c r="I362" t="s">
        <v>21</v>
      </c>
      <c r="J362">
        <v>480</v>
      </c>
      <c r="K362">
        <v>150</v>
      </c>
      <c r="L362">
        <v>2</v>
      </c>
      <c r="M362">
        <v>-1</v>
      </c>
      <c r="N362">
        <v>575</v>
      </c>
      <c r="O362">
        <v>230</v>
      </c>
      <c r="P362">
        <v>5.0299999999999997E-4</v>
      </c>
      <c r="Q362">
        <v>410</v>
      </c>
      <c r="R362">
        <v>6.33</v>
      </c>
      <c r="S362">
        <v>0</v>
      </c>
      <c r="T362">
        <v>0</v>
      </c>
      <c r="U362">
        <v>0</v>
      </c>
      <c r="V362">
        <v>0</v>
      </c>
      <c r="W362">
        <v>4</v>
      </c>
      <c r="X362">
        <v>0</v>
      </c>
      <c r="Y362">
        <v>0.2</v>
      </c>
      <c r="Z362">
        <v>0.17</v>
      </c>
      <c r="AA362">
        <v>0.03</v>
      </c>
      <c r="AB362">
        <v>0.01</v>
      </c>
      <c r="AC362">
        <v>4.0000000000000001E-3</v>
      </c>
    </row>
    <row r="363" spans="1:29" x14ac:dyDescent="0.3">
      <c r="A363" t="s">
        <v>316</v>
      </c>
      <c r="B363" t="s">
        <v>139</v>
      </c>
      <c r="C363" t="s">
        <v>9</v>
      </c>
      <c r="D363">
        <v>25</v>
      </c>
      <c r="E363">
        <v>76</v>
      </c>
      <c r="F363">
        <v>2</v>
      </c>
      <c r="G363">
        <v>1025</v>
      </c>
      <c r="H363">
        <v>2</v>
      </c>
      <c r="I363" t="s">
        <v>21</v>
      </c>
      <c r="J363">
        <v>700</v>
      </c>
      <c r="K363">
        <v>2</v>
      </c>
      <c r="L363">
        <v>2</v>
      </c>
      <c r="M363">
        <v>-1</v>
      </c>
      <c r="N363">
        <v>150</v>
      </c>
      <c r="O363">
        <v>266.55</v>
      </c>
      <c r="P363">
        <v>0</v>
      </c>
      <c r="Q363">
        <v>600</v>
      </c>
      <c r="R363">
        <v>5.8</v>
      </c>
      <c r="S363">
        <v>3.98</v>
      </c>
      <c r="T363">
        <v>3.74</v>
      </c>
      <c r="U363">
        <v>0.56999999999999995</v>
      </c>
      <c r="V363">
        <v>0.71</v>
      </c>
      <c r="W363">
        <v>0</v>
      </c>
      <c r="X363">
        <v>0.28000000000000003</v>
      </c>
      <c r="Y363">
        <v>0</v>
      </c>
      <c r="Z363">
        <v>0.08</v>
      </c>
      <c r="AA363">
        <v>0.06</v>
      </c>
      <c r="AB363">
        <v>8.0000000000000002E-3</v>
      </c>
      <c r="AC363">
        <v>0</v>
      </c>
    </row>
    <row r="364" spans="1:29" x14ac:dyDescent="0.3">
      <c r="A364" t="s">
        <v>317</v>
      </c>
      <c r="B364" t="s">
        <v>139</v>
      </c>
      <c r="C364" t="s">
        <v>9</v>
      </c>
      <c r="D364">
        <v>25</v>
      </c>
      <c r="E364">
        <v>76</v>
      </c>
      <c r="F364">
        <v>2</v>
      </c>
      <c r="G364">
        <v>0</v>
      </c>
      <c r="H364">
        <v>0</v>
      </c>
      <c r="I364" t="s">
        <v>21</v>
      </c>
      <c r="J364">
        <v>0</v>
      </c>
      <c r="K364">
        <v>0</v>
      </c>
      <c r="L364">
        <v>2</v>
      </c>
      <c r="M364">
        <v>-1</v>
      </c>
      <c r="N364">
        <v>400</v>
      </c>
      <c r="O364">
        <v>270</v>
      </c>
      <c r="P364">
        <v>8.4100000000000005E-8</v>
      </c>
      <c r="Q364">
        <v>450</v>
      </c>
      <c r="R364">
        <v>6.44</v>
      </c>
      <c r="S364">
        <v>0</v>
      </c>
      <c r="T364">
        <v>0</v>
      </c>
      <c r="U364">
        <v>0</v>
      </c>
      <c r="V364">
        <v>0</v>
      </c>
      <c r="W364">
        <v>3.87</v>
      </c>
      <c r="X364">
        <v>0</v>
      </c>
      <c r="Y364">
        <v>0.25</v>
      </c>
      <c r="Z364">
        <v>0.2</v>
      </c>
      <c r="AA364">
        <v>0.08</v>
      </c>
      <c r="AB364">
        <v>0.05</v>
      </c>
      <c r="AC364">
        <v>0.01</v>
      </c>
    </row>
    <row r="365" spans="1:29" x14ac:dyDescent="0.3">
      <c r="A365" t="s">
        <v>318</v>
      </c>
      <c r="B365" t="s">
        <v>139</v>
      </c>
      <c r="C365" t="s">
        <v>9</v>
      </c>
      <c r="D365">
        <v>25</v>
      </c>
      <c r="E365">
        <v>76</v>
      </c>
      <c r="F365">
        <v>2</v>
      </c>
      <c r="G365">
        <v>1050</v>
      </c>
      <c r="H365">
        <v>0.5</v>
      </c>
      <c r="I365" t="s">
        <v>21</v>
      </c>
      <c r="J365">
        <v>550</v>
      </c>
      <c r="K365">
        <v>24</v>
      </c>
      <c r="L365">
        <v>2</v>
      </c>
      <c r="M365">
        <v>-1</v>
      </c>
      <c r="N365">
        <v>300</v>
      </c>
      <c r="O365">
        <v>306.697461520405</v>
      </c>
      <c r="P365">
        <v>9.2700000000000003E-8</v>
      </c>
      <c r="Q365">
        <v>500</v>
      </c>
      <c r="R365">
        <v>6</v>
      </c>
      <c r="S365">
        <v>0</v>
      </c>
      <c r="T365">
        <v>5</v>
      </c>
      <c r="U365">
        <v>0</v>
      </c>
      <c r="V365">
        <v>0.5</v>
      </c>
      <c r="W365">
        <v>0</v>
      </c>
      <c r="X365">
        <v>0.25</v>
      </c>
      <c r="Y365">
        <v>0</v>
      </c>
      <c r="Z365">
        <v>0</v>
      </c>
      <c r="AA365">
        <v>0</v>
      </c>
      <c r="AB365">
        <v>0</v>
      </c>
      <c r="AC365">
        <v>0</v>
      </c>
    </row>
    <row r="366" spans="1:29" x14ac:dyDescent="0.3">
      <c r="A366" t="s">
        <v>319</v>
      </c>
      <c r="B366" t="s">
        <v>139</v>
      </c>
      <c r="C366" t="s">
        <v>9</v>
      </c>
      <c r="D366">
        <v>25</v>
      </c>
      <c r="E366">
        <v>76</v>
      </c>
      <c r="F366">
        <v>2</v>
      </c>
      <c r="G366">
        <v>0</v>
      </c>
      <c r="H366">
        <v>0</v>
      </c>
      <c r="I366" t="s">
        <v>21</v>
      </c>
      <c r="J366">
        <v>993</v>
      </c>
      <c r="K366">
        <v>2</v>
      </c>
      <c r="L366">
        <v>2</v>
      </c>
      <c r="M366">
        <v>-1</v>
      </c>
      <c r="N366">
        <v>333.78</v>
      </c>
      <c r="O366">
        <v>322.62</v>
      </c>
      <c r="P366">
        <v>0</v>
      </c>
      <c r="Q366">
        <v>773</v>
      </c>
      <c r="R366">
        <v>6.29</v>
      </c>
      <c r="S366">
        <v>0</v>
      </c>
      <c r="T366">
        <v>0</v>
      </c>
      <c r="U366">
        <v>0</v>
      </c>
      <c r="V366">
        <v>0</v>
      </c>
      <c r="W366">
        <v>4.13</v>
      </c>
      <c r="X366">
        <v>0</v>
      </c>
      <c r="Y366">
        <v>0.19400000000000001</v>
      </c>
      <c r="Z366">
        <v>0.16600000000000001</v>
      </c>
      <c r="AA366">
        <v>5.4999999999999997E-3</v>
      </c>
      <c r="AB366">
        <v>7.7000000000000002E-3</v>
      </c>
      <c r="AC366">
        <v>4.4000000000000003E-3</v>
      </c>
    </row>
    <row r="367" spans="1:29" x14ac:dyDescent="0.3">
      <c r="A367" t="s">
        <v>320</v>
      </c>
      <c r="B367" t="s">
        <v>139</v>
      </c>
      <c r="C367" t="s">
        <v>9</v>
      </c>
      <c r="D367">
        <v>25</v>
      </c>
      <c r="E367">
        <v>76</v>
      </c>
      <c r="F367">
        <v>2</v>
      </c>
      <c r="G367">
        <v>1050</v>
      </c>
      <c r="H367">
        <v>0.5</v>
      </c>
      <c r="I367" t="s">
        <v>21</v>
      </c>
      <c r="J367">
        <v>550</v>
      </c>
      <c r="K367">
        <v>24</v>
      </c>
      <c r="L367">
        <v>2</v>
      </c>
      <c r="M367">
        <v>-1</v>
      </c>
      <c r="N367">
        <v>300</v>
      </c>
      <c r="O367">
        <v>328.278310586499</v>
      </c>
      <c r="P367">
        <v>1.4399999999999999E-7</v>
      </c>
      <c r="Q367">
        <v>500</v>
      </c>
      <c r="R367">
        <v>6</v>
      </c>
      <c r="S367">
        <v>0</v>
      </c>
      <c r="T367">
        <v>5</v>
      </c>
      <c r="U367">
        <v>0</v>
      </c>
      <c r="V367">
        <v>0.5</v>
      </c>
      <c r="W367">
        <v>0</v>
      </c>
      <c r="X367">
        <v>0.25</v>
      </c>
      <c r="Y367">
        <v>0</v>
      </c>
      <c r="Z367">
        <v>0</v>
      </c>
      <c r="AA367">
        <v>0</v>
      </c>
      <c r="AB367">
        <v>0</v>
      </c>
      <c r="AC367">
        <v>0</v>
      </c>
    </row>
    <row r="368" spans="1:29" x14ac:dyDescent="0.3">
      <c r="A368" t="s">
        <v>321</v>
      </c>
      <c r="B368" t="s">
        <v>139</v>
      </c>
      <c r="C368" t="s">
        <v>9</v>
      </c>
      <c r="D368">
        <v>25</v>
      </c>
      <c r="E368">
        <v>76</v>
      </c>
      <c r="F368">
        <v>2</v>
      </c>
      <c r="G368">
        <v>0</v>
      </c>
      <c r="H368">
        <v>0</v>
      </c>
      <c r="I368" t="s">
        <v>21</v>
      </c>
      <c r="J368">
        <v>1123</v>
      </c>
      <c r="K368">
        <v>6</v>
      </c>
      <c r="L368">
        <v>2</v>
      </c>
      <c r="M368">
        <v>-1</v>
      </c>
      <c r="N368">
        <v>364</v>
      </c>
      <c r="O368">
        <v>359.23</v>
      </c>
      <c r="P368">
        <v>0</v>
      </c>
      <c r="Q368">
        <v>773</v>
      </c>
      <c r="R368">
        <v>6.29</v>
      </c>
      <c r="S368">
        <v>0</v>
      </c>
      <c r="T368">
        <v>0</v>
      </c>
      <c r="U368">
        <v>0</v>
      </c>
      <c r="V368">
        <v>0</v>
      </c>
      <c r="W368">
        <v>4.13</v>
      </c>
      <c r="X368">
        <v>0</v>
      </c>
      <c r="Y368">
        <v>0.19400000000000001</v>
      </c>
      <c r="Z368">
        <v>0.16600000000000001</v>
      </c>
      <c r="AA368">
        <v>5.4999999999999997E-3</v>
      </c>
      <c r="AB368">
        <v>7.7000000000000002E-3</v>
      </c>
      <c r="AC368">
        <v>4.4000000000000003E-3</v>
      </c>
    </row>
    <row r="369" spans="1:29" x14ac:dyDescent="0.3">
      <c r="A369" t="s">
        <v>322</v>
      </c>
      <c r="B369" t="s">
        <v>139</v>
      </c>
      <c r="C369" t="s">
        <v>9</v>
      </c>
      <c r="D369">
        <v>25</v>
      </c>
      <c r="E369">
        <v>76</v>
      </c>
      <c r="F369">
        <v>2</v>
      </c>
      <c r="G369">
        <v>1050</v>
      </c>
      <c r="H369">
        <v>0.5</v>
      </c>
      <c r="I369" t="s">
        <v>21</v>
      </c>
      <c r="J369">
        <v>550</v>
      </c>
      <c r="K369">
        <v>24</v>
      </c>
      <c r="L369">
        <v>2</v>
      </c>
      <c r="M369">
        <v>-1</v>
      </c>
      <c r="N369">
        <v>300</v>
      </c>
      <c r="O369">
        <v>371.03802689379899</v>
      </c>
      <c r="P369">
        <v>8.3599999999999994E-8</v>
      </c>
      <c r="Q369">
        <v>500</v>
      </c>
      <c r="R369">
        <v>6</v>
      </c>
      <c r="S369">
        <v>0</v>
      </c>
      <c r="T369">
        <v>5</v>
      </c>
      <c r="U369">
        <v>0</v>
      </c>
      <c r="V369">
        <v>0.5</v>
      </c>
      <c r="W369">
        <v>0</v>
      </c>
      <c r="X369">
        <v>0.25</v>
      </c>
      <c r="Y369">
        <v>0</v>
      </c>
      <c r="Z369">
        <v>0</v>
      </c>
      <c r="AA369">
        <v>0</v>
      </c>
      <c r="AB369">
        <v>0</v>
      </c>
      <c r="AC369">
        <v>0</v>
      </c>
    </row>
    <row r="370" spans="1:29" x14ac:dyDescent="0.3">
      <c r="A370" t="s">
        <v>323</v>
      </c>
      <c r="B370" t="s">
        <v>139</v>
      </c>
      <c r="C370" t="s">
        <v>9</v>
      </c>
      <c r="D370">
        <v>25</v>
      </c>
      <c r="E370">
        <v>76</v>
      </c>
      <c r="F370">
        <v>2</v>
      </c>
      <c r="G370">
        <v>0</v>
      </c>
      <c r="H370">
        <v>0</v>
      </c>
      <c r="I370" t="s">
        <v>21</v>
      </c>
      <c r="J370">
        <v>1373</v>
      </c>
      <c r="K370">
        <v>1</v>
      </c>
      <c r="L370">
        <v>2</v>
      </c>
      <c r="M370">
        <v>-1</v>
      </c>
      <c r="N370">
        <v>364.1</v>
      </c>
      <c r="O370">
        <v>412.33</v>
      </c>
      <c r="P370">
        <v>0</v>
      </c>
      <c r="Q370">
        <v>773</v>
      </c>
      <c r="R370">
        <v>6.29</v>
      </c>
      <c r="S370">
        <v>0</v>
      </c>
      <c r="T370">
        <v>0</v>
      </c>
      <c r="U370">
        <v>0</v>
      </c>
      <c r="V370">
        <v>0</v>
      </c>
      <c r="W370">
        <v>4.13</v>
      </c>
      <c r="X370">
        <v>0</v>
      </c>
      <c r="Y370">
        <v>0.19400000000000001</v>
      </c>
      <c r="Z370">
        <v>0.16600000000000001</v>
      </c>
      <c r="AA370">
        <v>5.4999999999999997E-3</v>
      </c>
      <c r="AB370">
        <v>7.7000000000000002E-3</v>
      </c>
      <c r="AC370">
        <v>4.4000000000000003E-3</v>
      </c>
    </row>
    <row r="371" spans="1:29" x14ac:dyDescent="0.3">
      <c r="A371" t="s">
        <v>324</v>
      </c>
      <c r="B371" t="s">
        <v>139</v>
      </c>
      <c r="C371" t="s">
        <v>9</v>
      </c>
      <c r="D371">
        <v>25</v>
      </c>
      <c r="E371">
        <v>76</v>
      </c>
      <c r="F371">
        <v>2</v>
      </c>
      <c r="G371">
        <v>0</v>
      </c>
      <c r="H371">
        <v>0</v>
      </c>
      <c r="I371" t="s">
        <v>21</v>
      </c>
      <c r="J371">
        <v>0</v>
      </c>
      <c r="K371">
        <v>0</v>
      </c>
      <c r="L371">
        <v>2</v>
      </c>
      <c r="M371">
        <v>-1</v>
      </c>
      <c r="N371">
        <v>125</v>
      </c>
      <c r="O371">
        <v>427</v>
      </c>
      <c r="P371">
        <v>8.3299999999999998E-8</v>
      </c>
      <c r="Q371">
        <v>500</v>
      </c>
      <c r="R371">
        <v>6</v>
      </c>
      <c r="S371">
        <v>0</v>
      </c>
      <c r="T371">
        <v>0</v>
      </c>
      <c r="U371">
        <v>0</v>
      </c>
      <c r="V371">
        <v>0</v>
      </c>
      <c r="W371">
        <v>4</v>
      </c>
      <c r="X371">
        <v>0</v>
      </c>
      <c r="Y371">
        <v>0.4</v>
      </c>
      <c r="Z371">
        <v>0.2</v>
      </c>
      <c r="AA371">
        <v>0.08</v>
      </c>
      <c r="AB371">
        <v>0.05</v>
      </c>
      <c r="AC371">
        <v>1.4999999999999999E-2</v>
      </c>
    </row>
    <row r="372" spans="1:29" x14ac:dyDescent="0.3">
      <c r="A372" t="s">
        <v>325</v>
      </c>
      <c r="B372" t="s">
        <v>139</v>
      </c>
      <c r="C372" t="s">
        <v>9</v>
      </c>
      <c r="D372">
        <v>25</v>
      </c>
      <c r="E372">
        <v>76</v>
      </c>
      <c r="F372">
        <v>2</v>
      </c>
      <c r="G372">
        <v>940</v>
      </c>
      <c r="H372">
        <v>0</v>
      </c>
      <c r="I372" t="s">
        <v>21</v>
      </c>
      <c r="J372">
        <v>480</v>
      </c>
      <c r="K372">
        <v>24</v>
      </c>
      <c r="L372">
        <v>2</v>
      </c>
      <c r="M372">
        <v>-1</v>
      </c>
      <c r="N372">
        <v>575</v>
      </c>
      <c r="O372">
        <v>430</v>
      </c>
      <c r="P372">
        <v>7.3099999999999999E-4</v>
      </c>
      <c r="Q372">
        <v>400</v>
      </c>
      <c r="R372">
        <v>6.33</v>
      </c>
      <c r="S372">
        <v>0</v>
      </c>
      <c r="T372">
        <v>0</v>
      </c>
      <c r="U372">
        <v>0</v>
      </c>
      <c r="V372">
        <v>0</v>
      </c>
      <c r="W372">
        <v>4</v>
      </c>
      <c r="X372">
        <v>0</v>
      </c>
      <c r="Y372">
        <v>0.2</v>
      </c>
      <c r="Z372">
        <v>0.17</v>
      </c>
      <c r="AA372">
        <v>0.03</v>
      </c>
      <c r="AB372">
        <v>0.01</v>
      </c>
      <c r="AC372">
        <v>4.0000000000000001E-3</v>
      </c>
    </row>
    <row r="373" spans="1:29" x14ac:dyDescent="0.3">
      <c r="A373" t="s">
        <v>326</v>
      </c>
      <c r="B373" t="s">
        <v>139</v>
      </c>
      <c r="C373" t="s">
        <v>9</v>
      </c>
      <c r="D373">
        <v>25</v>
      </c>
      <c r="E373">
        <v>76</v>
      </c>
      <c r="F373">
        <v>2</v>
      </c>
      <c r="G373">
        <v>995</v>
      </c>
      <c r="H373">
        <v>2</v>
      </c>
      <c r="I373" t="s">
        <v>21</v>
      </c>
      <c r="J373">
        <v>700</v>
      </c>
      <c r="K373">
        <v>2</v>
      </c>
      <c r="L373">
        <v>2</v>
      </c>
      <c r="M373">
        <v>-1</v>
      </c>
      <c r="N373">
        <v>150</v>
      </c>
      <c r="O373">
        <v>432</v>
      </c>
      <c r="P373">
        <v>0</v>
      </c>
      <c r="Q373">
        <v>600</v>
      </c>
      <c r="R373">
        <v>5.8</v>
      </c>
      <c r="S373">
        <v>3.98</v>
      </c>
      <c r="T373">
        <v>3.74</v>
      </c>
      <c r="U373">
        <v>0.56999999999999995</v>
      </c>
      <c r="V373">
        <v>0.71</v>
      </c>
      <c r="W373">
        <v>0</v>
      </c>
      <c r="X373">
        <v>0.28000000000000003</v>
      </c>
      <c r="Y373">
        <v>0</v>
      </c>
      <c r="Z373">
        <v>0.08</v>
      </c>
      <c r="AA373">
        <v>0.06</v>
      </c>
      <c r="AB373">
        <v>8.0000000000000002E-3</v>
      </c>
      <c r="AC373">
        <v>0</v>
      </c>
    </row>
    <row r="374" spans="1:29" x14ac:dyDescent="0.3">
      <c r="A374" t="s">
        <v>327</v>
      </c>
      <c r="B374" t="s">
        <v>139</v>
      </c>
      <c r="C374" t="s">
        <v>9</v>
      </c>
      <c r="D374">
        <v>25</v>
      </c>
      <c r="E374">
        <v>76</v>
      </c>
      <c r="F374">
        <v>2</v>
      </c>
      <c r="G374">
        <v>980</v>
      </c>
      <c r="H374">
        <v>0</v>
      </c>
      <c r="I374" t="s">
        <v>21</v>
      </c>
      <c r="J374">
        <v>480</v>
      </c>
      <c r="K374">
        <v>24</v>
      </c>
      <c r="L374">
        <v>2</v>
      </c>
      <c r="M374">
        <v>-1</v>
      </c>
      <c r="N374">
        <v>575</v>
      </c>
      <c r="O374">
        <v>447.57</v>
      </c>
      <c r="P374">
        <v>0</v>
      </c>
      <c r="Q374">
        <v>400</v>
      </c>
      <c r="R374">
        <v>6.33</v>
      </c>
      <c r="S374">
        <v>0</v>
      </c>
      <c r="T374">
        <v>0</v>
      </c>
      <c r="U374">
        <v>0</v>
      </c>
      <c r="V374">
        <v>0</v>
      </c>
      <c r="W374">
        <v>4</v>
      </c>
      <c r="X374">
        <v>0</v>
      </c>
      <c r="Y374">
        <v>0.2</v>
      </c>
      <c r="Z374">
        <v>0.17</v>
      </c>
      <c r="AA374">
        <v>0.03</v>
      </c>
      <c r="AB374">
        <v>0.01</v>
      </c>
      <c r="AC374">
        <v>4.0000000000000001E-3</v>
      </c>
    </row>
    <row r="375" spans="1:29" x14ac:dyDescent="0.3">
      <c r="A375" t="s">
        <v>328</v>
      </c>
      <c r="B375" t="s">
        <v>139</v>
      </c>
      <c r="C375" t="s">
        <v>9</v>
      </c>
      <c r="D375">
        <v>25</v>
      </c>
      <c r="E375">
        <v>76</v>
      </c>
      <c r="F375">
        <v>2</v>
      </c>
      <c r="G375">
        <v>1000</v>
      </c>
      <c r="H375">
        <v>0</v>
      </c>
      <c r="I375" t="s">
        <v>21</v>
      </c>
      <c r="J375">
        <v>480</v>
      </c>
      <c r="K375">
        <v>24</v>
      </c>
      <c r="L375">
        <v>2</v>
      </c>
      <c r="M375">
        <v>-1</v>
      </c>
      <c r="N375">
        <v>575</v>
      </c>
      <c r="O375">
        <v>448</v>
      </c>
      <c r="P375">
        <v>3.3199999999999999E-4</v>
      </c>
      <c r="Q375">
        <v>400</v>
      </c>
      <c r="R375">
        <v>6.33</v>
      </c>
      <c r="S375">
        <v>0</v>
      </c>
      <c r="T375">
        <v>0</v>
      </c>
      <c r="U375">
        <v>0</v>
      </c>
      <c r="V375">
        <v>0</v>
      </c>
      <c r="W375">
        <v>4</v>
      </c>
      <c r="X375">
        <v>0</v>
      </c>
      <c r="Y375">
        <v>0.2</v>
      </c>
      <c r="Z375">
        <v>0.17</v>
      </c>
      <c r="AA375">
        <v>0.03</v>
      </c>
      <c r="AB375">
        <v>0.01</v>
      </c>
      <c r="AC375">
        <v>4.0000000000000001E-3</v>
      </c>
    </row>
    <row r="376" spans="1:29" x14ac:dyDescent="0.3">
      <c r="A376" t="s">
        <v>329</v>
      </c>
      <c r="B376" t="s">
        <v>139</v>
      </c>
      <c r="C376" t="s">
        <v>9</v>
      </c>
      <c r="D376">
        <v>25</v>
      </c>
      <c r="E376">
        <v>76</v>
      </c>
      <c r="F376">
        <v>2</v>
      </c>
      <c r="G376">
        <v>0</v>
      </c>
      <c r="H376">
        <v>0</v>
      </c>
      <c r="I376" t="s">
        <v>21</v>
      </c>
      <c r="J376">
        <v>1373</v>
      </c>
      <c r="K376">
        <v>1</v>
      </c>
      <c r="L376">
        <v>2</v>
      </c>
      <c r="M376">
        <v>-1</v>
      </c>
      <c r="N376">
        <v>333.49</v>
      </c>
      <c r="O376">
        <v>453.48</v>
      </c>
      <c r="P376">
        <v>0</v>
      </c>
      <c r="Q376">
        <v>773</v>
      </c>
      <c r="R376">
        <v>6.29</v>
      </c>
      <c r="S376">
        <v>0</v>
      </c>
      <c r="T376">
        <v>0</v>
      </c>
      <c r="U376">
        <v>0</v>
      </c>
      <c r="V376">
        <v>0</v>
      </c>
      <c r="W376">
        <v>4.13</v>
      </c>
      <c r="X376">
        <v>0</v>
      </c>
      <c r="Y376">
        <v>0.19400000000000001</v>
      </c>
      <c r="Z376">
        <v>0.16600000000000001</v>
      </c>
      <c r="AA376">
        <v>5.4999999999999997E-3</v>
      </c>
      <c r="AB376">
        <v>7.7000000000000002E-3</v>
      </c>
      <c r="AC376">
        <v>4.4000000000000003E-3</v>
      </c>
    </row>
    <row r="377" spans="1:29" x14ac:dyDescent="0.3">
      <c r="A377" t="s">
        <v>330</v>
      </c>
      <c r="B377" t="s">
        <v>139</v>
      </c>
      <c r="C377" t="s">
        <v>9</v>
      </c>
      <c r="D377">
        <v>25</v>
      </c>
      <c r="E377">
        <v>76</v>
      </c>
      <c r="F377">
        <v>2</v>
      </c>
      <c r="G377">
        <v>945</v>
      </c>
      <c r="H377">
        <v>2</v>
      </c>
      <c r="I377" t="s">
        <v>21</v>
      </c>
      <c r="J377">
        <v>700</v>
      </c>
      <c r="K377">
        <v>2</v>
      </c>
      <c r="L377">
        <v>2</v>
      </c>
      <c r="M377">
        <v>-1</v>
      </c>
      <c r="N377">
        <v>150</v>
      </c>
      <c r="O377">
        <v>460</v>
      </c>
      <c r="P377">
        <v>0</v>
      </c>
      <c r="Q377">
        <v>600</v>
      </c>
      <c r="R377">
        <v>5.8</v>
      </c>
      <c r="S377">
        <v>3.98</v>
      </c>
      <c r="T377">
        <v>3.74</v>
      </c>
      <c r="U377">
        <v>0.56999999999999995</v>
      </c>
      <c r="V377">
        <v>0.71</v>
      </c>
      <c r="W377">
        <v>0</v>
      </c>
      <c r="X377">
        <v>0.28000000000000003</v>
      </c>
      <c r="Y377">
        <v>0</v>
      </c>
      <c r="Z377">
        <v>0.08</v>
      </c>
      <c r="AA377">
        <v>0.06</v>
      </c>
      <c r="AB377">
        <v>8.0000000000000002E-3</v>
      </c>
      <c r="AC377">
        <v>0</v>
      </c>
    </row>
    <row r="378" spans="1:29" x14ac:dyDescent="0.3">
      <c r="A378" t="s">
        <v>331</v>
      </c>
      <c r="B378" t="s">
        <v>139</v>
      </c>
      <c r="C378" t="s">
        <v>9</v>
      </c>
      <c r="D378">
        <v>25</v>
      </c>
      <c r="E378">
        <v>76</v>
      </c>
      <c r="F378">
        <v>2</v>
      </c>
      <c r="G378">
        <v>0</v>
      </c>
      <c r="H378">
        <v>0</v>
      </c>
      <c r="I378" t="s">
        <v>21</v>
      </c>
      <c r="J378">
        <v>1123</v>
      </c>
      <c r="K378">
        <v>6</v>
      </c>
      <c r="L378">
        <v>2</v>
      </c>
      <c r="M378">
        <v>-1</v>
      </c>
      <c r="N378">
        <v>333.4</v>
      </c>
      <c r="O378">
        <v>493.3</v>
      </c>
      <c r="P378">
        <v>0</v>
      </c>
      <c r="Q378">
        <v>773</v>
      </c>
      <c r="R378">
        <v>6.29</v>
      </c>
      <c r="S378">
        <v>0</v>
      </c>
      <c r="T378">
        <v>0</v>
      </c>
      <c r="U378">
        <v>0</v>
      </c>
      <c r="V378">
        <v>0</v>
      </c>
      <c r="W378">
        <v>4.13</v>
      </c>
      <c r="X378">
        <v>0</v>
      </c>
      <c r="Y378">
        <v>0.19400000000000001</v>
      </c>
      <c r="Z378">
        <v>0.16600000000000001</v>
      </c>
      <c r="AA378">
        <v>5.4999999999999997E-3</v>
      </c>
      <c r="AB378">
        <v>7.7000000000000002E-3</v>
      </c>
      <c r="AC378">
        <v>4.4000000000000003E-3</v>
      </c>
    </row>
    <row r="379" spans="1:29" x14ac:dyDescent="0.3">
      <c r="A379" t="s">
        <v>332</v>
      </c>
      <c r="B379" t="s">
        <v>139</v>
      </c>
      <c r="C379" t="s">
        <v>9</v>
      </c>
      <c r="D379">
        <v>25</v>
      </c>
      <c r="E379">
        <v>76</v>
      </c>
      <c r="F379">
        <v>2</v>
      </c>
      <c r="G379">
        <v>1050</v>
      </c>
      <c r="H379">
        <v>0.5</v>
      </c>
      <c r="I379" t="s">
        <v>21</v>
      </c>
      <c r="J379">
        <v>550</v>
      </c>
      <c r="K379">
        <v>24</v>
      </c>
      <c r="L379">
        <v>2</v>
      </c>
      <c r="M379">
        <v>-1</v>
      </c>
      <c r="N379">
        <v>300</v>
      </c>
      <c r="O379">
        <v>510.07385734884798</v>
      </c>
      <c r="P379">
        <v>1.4399999999999999E-7</v>
      </c>
      <c r="Q379">
        <v>500</v>
      </c>
      <c r="R379">
        <v>6</v>
      </c>
      <c r="S379">
        <v>0</v>
      </c>
      <c r="T379">
        <v>5</v>
      </c>
      <c r="U379">
        <v>0</v>
      </c>
      <c r="V379">
        <v>0.5</v>
      </c>
      <c r="W379">
        <v>0</v>
      </c>
      <c r="X379">
        <v>0.25</v>
      </c>
      <c r="Y379">
        <v>0</v>
      </c>
      <c r="Z379">
        <v>0</v>
      </c>
      <c r="AA379">
        <v>0</v>
      </c>
      <c r="AB379">
        <v>0</v>
      </c>
      <c r="AC379">
        <v>0</v>
      </c>
    </row>
    <row r="380" spans="1:29" x14ac:dyDescent="0.3">
      <c r="A380" t="s">
        <v>333</v>
      </c>
      <c r="B380" t="s">
        <v>139</v>
      </c>
      <c r="C380" t="s">
        <v>9</v>
      </c>
      <c r="D380">
        <v>25</v>
      </c>
      <c r="E380">
        <v>76</v>
      </c>
      <c r="F380">
        <v>2</v>
      </c>
      <c r="G380">
        <v>1050</v>
      </c>
      <c r="H380">
        <v>0.5</v>
      </c>
      <c r="I380" t="s">
        <v>21</v>
      </c>
      <c r="J380">
        <v>550</v>
      </c>
      <c r="K380">
        <v>24</v>
      </c>
      <c r="L380">
        <v>2</v>
      </c>
      <c r="M380">
        <v>-1</v>
      </c>
      <c r="N380">
        <v>300</v>
      </c>
      <c r="O380">
        <v>511.88130847389402</v>
      </c>
      <c r="P380">
        <v>9.2700000000000003E-8</v>
      </c>
      <c r="Q380">
        <v>500</v>
      </c>
      <c r="R380">
        <v>6</v>
      </c>
      <c r="S380">
        <v>0</v>
      </c>
      <c r="T380">
        <v>5</v>
      </c>
      <c r="U380">
        <v>0</v>
      </c>
      <c r="V380">
        <v>0.5</v>
      </c>
      <c r="W380">
        <v>0</v>
      </c>
      <c r="X380">
        <v>0.25</v>
      </c>
      <c r="Y380">
        <v>0</v>
      </c>
      <c r="Z380">
        <v>0</v>
      </c>
      <c r="AA380">
        <v>0</v>
      </c>
      <c r="AB380">
        <v>0</v>
      </c>
      <c r="AC380">
        <v>0</v>
      </c>
    </row>
    <row r="381" spans="1:29" x14ac:dyDescent="0.3">
      <c r="A381" t="s">
        <v>334</v>
      </c>
      <c r="B381" t="s">
        <v>139</v>
      </c>
      <c r="C381" t="s">
        <v>9</v>
      </c>
      <c r="D381">
        <v>25</v>
      </c>
      <c r="E381">
        <v>76</v>
      </c>
      <c r="F381">
        <v>2</v>
      </c>
      <c r="G381">
        <v>1055</v>
      </c>
      <c r="H381">
        <v>2</v>
      </c>
      <c r="I381" t="s">
        <v>21</v>
      </c>
      <c r="J381">
        <v>700</v>
      </c>
      <c r="K381">
        <v>2</v>
      </c>
      <c r="L381">
        <v>2</v>
      </c>
      <c r="M381">
        <v>-1</v>
      </c>
      <c r="N381">
        <v>150</v>
      </c>
      <c r="O381">
        <v>526.9</v>
      </c>
      <c r="P381">
        <v>0</v>
      </c>
      <c r="Q381">
        <v>600</v>
      </c>
      <c r="R381">
        <v>5.78</v>
      </c>
      <c r="S381">
        <v>4.01</v>
      </c>
      <c r="T381">
        <v>3.71</v>
      </c>
      <c r="U381">
        <v>0.55000000000000004</v>
      </c>
      <c r="V381">
        <v>0.72</v>
      </c>
      <c r="W381">
        <v>0</v>
      </c>
      <c r="X381">
        <v>0.3</v>
      </c>
      <c r="Y381">
        <v>0</v>
      </c>
      <c r="Z381">
        <v>0.09</v>
      </c>
      <c r="AA381">
        <v>0.06</v>
      </c>
      <c r="AB381">
        <v>7.0000000000000001E-3</v>
      </c>
      <c r="AC381">
        <v>0</v>
      </c>
    </row>
    <row r="382" spans="1:29" x14ac:dyDescent="0.3">
      <c r="A382" t="s">
        <v>335</v>
      </c>
      <c r="B382" t="s">
        <v>139</v>
      </c>
      <c r="C382" t="s">
        <v>9</v>
      </c>
      <c r="D382">
        <v>25</v>
      </c>
      <c r="E382">
        <v>76</v>
      </c>
      <c r="F382">
        <v>2</v>
      </c>
      <c r="G382">
        <v>940</v>
      </c>
      <c r="H382">
        <v>0.42</v>
      </c>
      <c r="I382" t="s">
        <v>21</v>
      </c>
      <c r="J382">
        <v>480</v>
      </c>
      <c r="K382">
        <v>24</v>
      </c>
      <c r="L382">
        <v>2</v>
      </c>
      <c r="M382">
        <v>-1</v>
      </c>
      <c r="N382">
        <v>600</v>
      </c>
      <c r="O382">
        <v>548</v>
      </c>
      <c r="P382">
        <v>1.5099999999999999E-7</v>
      </c>
      <c r="Q382">
        <v>400</v>
      </c>
      <c r="R382">
        <v>6.33</v>
      </c>
      <c r="S382">
        <v>0</v>
      </c>
      <c r="T382">
        <v>0</v>
      </c>
      <c r="U382">
        <v>0</v>
      </c>
      <c r="V382">
        <v>0</v>
      </c>
      <c r="W382">
        <v>4</v>
      </c>
      <c r="X382">
        <v>0</v>
      </c>
      <c r="Y382">
        <v>0.2</v>
      </c>
      <c r="Z382">
        <v>0.17</v>
      </c>
      <c r="AA382">
        <v>0.03</v>
      </c>
      <c r="AB382">
        <v>0.01</v>
      </c>
      <c r="AC382">
        <v>4.0000000000000001E-3</v>
      </c>
    </row>
    <row r="383" spans="1:29" x14ac:dyDescent="0.3">
      <c r="A383" t="s">
        <v>336</v>
      </c>
      <c r="B383" t="s">
        <v>139</v>
      </c>
      <c r="C383" t="s">
        <v>9</v>
      </c>
      <c r="D383">
        <v>25</v>
      </c>
      <c r="E383">
        <v>76</v>
      </c>
      <c r="F383">
        <v>2</v>
      </c>
      <c r="G383">
        <v>0</v>
      </c>
      <c r="H383">
        <v>0</v>
      </c>
      <c r="I383" t="s">
        <v>21</v>
      </c>
      <c r="J383">
        <v>993</v>
      </c>
      <c r="K383">
        <v>2</v>
      </c>
      <c r="L383">
        <v>2</v>
      </c>
      <c r="M383">
        <v>-1</v>
      </c>
      <c r="N383">
        <v>312.57</v>
      </c>
      <c r="O383">
        <v>549.80999999999995</v>
      </c>
      <c r="P383">
        <v>0</v>
      </c>
      <c r="Q383">
        <v>773</v>
      </c>
      <c r="R383">
        <v>6.29</v>
      </c>
      <c r="S383">
        <v>0</v>
      </c>
      <c r="T383">
        <v>0</v>
      </c>
      <c r="U383">
        <v>0</v>
      </c>
      <c r="V383">
        <v>0</v>
      </c>
      <c r="W383">
        <v>4.13</v>
      </c>
      <c r="X383">
        <v>0</v>
      </c>
      <c r="Y383">
        <v>0.19400000000000001</v>
      </c>
      <c r="Z383">
        <v>0.16600000000000001</v>
      </c>
      <c r="AA383">
        <v>5.4999999999999997E-3</v>
      </c>
      <c r="AB383">
        <v>7.7000000000000002E-3</v>
      </c>
      <c r="AC383">
        <v>4.4000000000000003E-3</v>
      </c>
    </row>
    <row r="384" spans="1:29" x14ac:dyDescent="0.3">
      <c r="A384" t="s">
        <v>337</v>
      </c>
      <c r="B384" t="s">
        <v>139</v>
      </c>
      <c r="C384" t="s">
        <v>9</v>
      </c>
      <c r="D384">
        <v>25</v>
      </c>
      <c r="E384">
        <v>76</v>
      </c>
      <c r="F384">
        <v>2</v>
      </c>
      <c r="G384">
        <v>1050</v>
      </c>
      <c r="H384">
        <v>0.5</v>
      </c>
      <c r="I384" t="s">
        <v>21</v>
      </c>
      <c r="J384">
        <v>950</v>
      </c>
      <c r="K384">
        <v>1</v>
      </c>
      <c r="L384">
        <v>2</v>
      </c>
      <c r="M384">
        <v>-1</v>
      </c>
      <c r="N384">
        <v>97</v>
      </c>
      <c r="O384">
        <v>560</v>
      </c>
      <c r="P384">
        <v>2.4500000000000001E-8</v>
      </c>
      <c r="Q384">
        <v>600</v>
      </c>
      <c r="R384">
        <v>6.61</v>
      </c>
      <c r="S384">
        <v>0</v>
      </c>
      <c r="T384">
        <v>0</v>
      </c>
      <c r="U384">
        <v>0</v>
      </c>
      <c r="V384">
        <v>0</v>
      </c>
      <c r="W384">
        <v>4.2300000000000004</v>
      </c>
      <c r="X384">
        <v>0</v>
      </c>
      <c r="Y384">
        <v>1.18</v>
      </c>
      <c r="Z384">
        <v>0.13</v>
      </c>
      <c r="AA384">
        <v>2.5999999999999999E-2</v>
      </c>
      <c r="AB384">
        <v>1.0999999999999999E-2</v>
      </c>
      <c r="AC384">
        <v>3.0000000000000001E-3</v>
      </c>
    </row>
    <row r="385" spans="1:29" x14ac:dyDescent="0.3">
      <c r="A385" t="s">
        <v>338</v>
      </c>
      <c r="B385" t="s">
        <v>139</v>
      </c>
      <c r="C385" t="s">
        <v>9</v>
      </c>
      <c r="D385">
        <v>25</v>
      </c>
      <c r="E385">
        <v>76</v>
      </c>
      <c r="F385">
        <v>2</v>
      </c>
      <c r="G385">
        <v>1050</v>
      </c>
      <c r="H385">
        <v>0.5</v>
      </c>
      <c r="I385" t="s">
        <v>21</v>
      </c>
      <c r="J385">
        <v>550</v>
      </c>
      <c r="K385">
        <v>24</v>
      </c>
      <c r="L385">
        <v>2</v>
      </c>
      <c r="M385">
        <v>-1</v>
      </c>
      <c r="N385">
        <v>300</v>
      </c>
      <c r="O385">
        <v>628.41495925689901</v>
      </c>
      <c r="P385">
        <v>8.3599999999999994E-8</v>
      </c>
      <c r="Q385">
        <v>500</v>
      </c>
      <c r="R385">
        <v>6</v>
      </c>
      <c r="S385">
        <v>0</v>
      </c>
      <c r="T385">
        <v>5</v>
      </c>
      <c r="U385">
        <v>0</v>
      </c>
      <c r="V385">
        <v>0.5</v>
      </c>
      <c r="W385">
        <v>0</v>
      </c>
      <c r="X385">
        <v>0.25</v>
      </c>
      <c r="Y385">
        <v>0</v>
      </c>
      <c r="Z385">
        <v>0</v>
      </c>
      <c r="AA385">
        <v>0</v>
      </c>
      <c r="AB385">
        <v>0</v>
      </c>
      <c r="AC385">
        <v>0</v>
      </c>
    </row>
    <row r="386" spans="1:29" x14ac:dyDescent="0.3">
      <c r="A386" t="s">
        <v>339</v>
      </c>
      <c r="B386" t="s">
        <v>139</v>
      </c>
      <c r="C386" t="s">
        <v>9</v>
      </c>
      <c r="D386">
        <v>25</v>
      </c>
      <c r="E386">
        <v>76</v>
      </c>
      <c r="F386">
        <v>2</v>
      </c>
      <c r="G386">
        <v>0</v>
      </c>
      <c r="H386">
        <v>0</v>
      </c>
      <c r="I386" t="s">
        <v>21</v>
      </c>
      <c r="J386">
        <v>1373</v>
      </c>
      <c r="K386">
        <v>1</v>
      </c>
      <c r="L386">
        <v>2</v>
      </c>
      <c r="M386">
        <v>-1</v>
      </c>
      <c r="N386">
        <v>311.75</v>
      </c>
      <c r="O386">
        <v>674.96</v>
      </c>
      <c r="P386">
        <v>0</v>
      </c>
      <c r="Q386">
        <v>773</v>
      </c>
      <c r="R386">
        <v>6.29</v>
      </c>
      <c r="S386">
        <v>0</v>
      </c>
      <c r="T386">
        <v>0</v>
      </c>
      <c r="U386">
        <v>0</v>
      </c>
      <c r="V386">
        <v>0</v>
      </c>
      <c r="W386">
        <v>4.13</v>
      </c>
      <c r="X386">
        <v>0</v>
      </c>
      <c r="Y386">
        <v>0.19400000000000001</v>
      </c>
      <c r="Z386">
        <v>0.16600000000000001</v>
      </c>
      <c r="AA386">
        <v>5.4999999999999997E-3</v>
      </c>
      <c r="AB386">
        <v>7.7000000000000002E-3</v>
      </c>
      <c r="AC386">
        <v>4.4000000000000003E-3</v>
      </c>
    </row>
    <row r="387" spans="1:29" x14ac:dyDescent="0.3">
      <c r="A387" t="s">
        <v>340</v>
      </c>
      <c r="B387" t="s">
        <v>139</v>
      </c>
      <c r="C387" t="s">
        <v>9</v>
      </c>
      <c r="D387">
        <v>25</v>
      </c>
      <c r="E387">
        <v>76</v>
      </c>
      <c r="F387">
        <v>2</v>
      </c>
      <c r="G387">
        <v>0</v>
      </c>
      <c r="H387">
        <v>0</v>
      </c>
      <c r="I387" t="s">
        <v>21</v>
      </c>
      <c r="J387">
        <v>1123</v>
      </c>
      <c r="K387">
        <v>6</v>
      </c>
      <c r="L387">
        <v>2</v>
      </c>
      <c r="M387">
        <v>-1</v>
      </c>
      <c r="N387">
        <v>312.81</v>
      </c>
      <c r="O387">
        <v>690.16</v>
      </c>
      <c r="P387">
        <v>0</v>
      </c>
      <c r="Q387">
        <v>773</v>
      </c>
      <c r="R387">
        <v>6.29</v>
      </c>
      <c r="S387">
        <v>0</v>
      </c>
      <c r="T387">
        <v>0</v>
      </c>
      <c r="U387">
        <v>0</v>
      </c>
      <c r="V387">
        <v>0</v>
      </c>
      <c r="W387">
        <v>4.13</v>
      </c>
      <c r="X387">
        <v>0</v>
      </c>
      <c r="Y387">
        <v>0.19400000000000001</v>
      </c>
      <c r="Z387">
        <v>0.16600000000000001</v>
      </c>
      <c r="AA387">
        <v>5.4999999999999997E-3</v>
      </c>
      <c r="AB387">
        <v>7.7000000000000002E-3</v>
      </c>
      <c r="AC387">
        <v>4.4000000000000003E-3</v>
      </c>
    </row>
    <row r="388" spans="1:29" x14ac:dyDescent="0.3">
      <c r="A388" t="s">
        <v>341</v>
      </c>
      <c r="B388" t="s">
        <v>139</v>
      </c>
      <c r="C388" t="s">
        <v>9</v>
      </c>
      <c r="D388">
        <v>25</v>
      </c>
      <c r="E388">
        <v>76</v>
      </c>
      <c r="F388">
        <v>2</v>
      </c>
      <c r="G388">
        <v>1055</v>
      </c>
      <c r="H388">
        <v>2</v>
      </c>
      <c r="I388" t="s">
        <v>21</v>
      </c>
      <c r="J388">
        <v>700</v>
      </c>
      <c r="K388">
        <v>2</v>
      </c>
      <c r="L388">
        <v>2</v>
      </c>
      <c r="M388">
        <v>-1</v>
      </c>
      <c r="N388">
        <v>150</v>
      </c>
      <c r="O388">
        <v>705.53</v>
      </c>
      <c r="P388">
        <v>0</v>
      </c>
      <c r="Q388">
        <v>600</v>
      </c>
      <c r="R388">
        <v>5.8</v>
      </c>
      <c r="S388">
        <v>3.98</v>
      </c>
      <c r="T388">
        <v>3.74</v>
      </c>
      <c r="U388">
        <v>0.56999999999999995</v>
      </c>
      <c r="V388">
        <v>0.71</v>
      </c>
      <c r="W388">
        <v>0</v>
      </c>
      <c r="X388">
        <v>0.28000000000000003</v>
      </c>
      <c r="Y388">
        <v>0</v>
      </c>
      <c r="Z388">
        <v>0.08</v>
      </c>
      <c r="AA388">
        <v>0.06</v>
      </c>
      <c r="AB388">
        <v>8.0000000000000002E-3</v>
      </c>
      <c r="AC388">
        <v>0</v>
      </c>
    </row>
    <row r="389" spans="1:29" x14ac:dyDescent="0.3">
      <c r="A389" t="s">
        <v>342</v>
      </c>
      <c r="B389" t="s">
        <v>139</v>
      </c>
      <c r="C389" t="s">
        <v>9</v>
      </c>
      <c r="D389">
        <v>25</v>
      </c>
      <c r="E389">
        <v>76</v>
      </c>
      <c r="F389">
        <v>2</v>
      </c>
      <c r="G389">
        <v>0</v>
      </c>
      <c r="H389">
        <v>0</v>
      </c>
      <c r="I389" t="s">
        <v>21</v>
      </c>
      <c r="J389">
        <v>720</v>
      </c>
      <c r="K389">
        <v>0</v>
      </c>
      <c r="L389">
        <v>2</v>
      </c>
      <c r="M389">
        <v>-1</v>
      </c>
      <c r="N389">
        <v>345</v>
      </c>
      <c r="O389">
        <v>714</v>
      </c>
      <c r="P389">
        <v>4.7199999999999997E-6</v>
      </c>
      <c r="Q389">
        <v>455</v>
      </c>
      <c r="R389">
        <v>6.51</v>
      </c>
      <c r="S389">
        <v>0</v>
      </c>
      <c r="T389">
        <v>0</v>
      </c>
      <c r="U389">
        <v>0</v>
      </c>
      <c r="V389">
        <v>0</v>
      </c>
      <c r="W389">
        <v>4.08</v>
      </c>
      <c r="X389">
        <v>0</v>
      </c>
      <c r="Y389">
        <v>0.16</v>
      </c>
      <c r="Z389">
        <v>0.19</v>
      </c>
      <c r="AA389">
        <v>0.01</v>
      </c>
      <c r="AB389">
        <v>5.0000000000000001E-3</v>
      </c>
      <c r="AC389">
        <v>1.6000000000000001E-3</v>
      </c>
    </row>
    <row r="390" spans="1:29" x14ac:dyDescent="0.3">
      <c r="A390" t="s">
        <v>343</v>
      </c>
      <c r="B390" t="s">
        <v>139</v>
      </c>
      <c r="C390" t="s">
        <v>9</v>
      </c>
      <c r="D390">
        <v>25</v>
      </c>
      <c r="E390">
        <v>76</v>
      </c>
      <c r="F390">
        <v>2</v>
      </c>
      <c r="G390">
        <v>0</v>
      </c>
      <c r="H390">
        <v>0</v>
      </c>
      <c r="I390" t="s">
        <v>21</v>
      </c>
      <c r="J390">
        <v>900</v>
      </c>
      <c r="K390">
        <v>2</v>
      </c>
      <c r="L390">
        <v>2</v>
      </c>
      <c r="M390">
        <v>-1</v>
      </c>
      <c r="N390">
        <v>300</v>
      </c>
      <c r="O390">
        <v>750</v>
      </c>
      <c r="P390">
        <v>2.55E-8</v>
      </c>
      <c r="Q390">
        <v>475</v>
      </c>
      <c r="R390">
        <v>6</v>
      </c>
      <c r="S390">
        <v>0</v>
      </c>
      <c r="T390">
        <v>0</v>
      </c>
      <c r="U390">
        <v>0</v>
      </c>
      <c r="V390">
        <v>0</v>
      </c>
      <c r="W390">
        <v>4</v>
      </c>
      <c r="X390">
        <v>0</v>
      </c>
      <c r="Y390">
        <v>0.25</v>
      </c>
      <c r="Z390">
        <v>0.2</v>
      </c>
      <c r="AA390">
        <v>0.08</v>
      </c>
      <c r="AB390">
        <v>0.05</v>
      </c>
      <c r="AC390">
        <v>0.01</v>
      </c>
    </row>
    <row r="391" spans="1:29" x14ac:dyDescent="0.3">
      <c r="A391" t="s">
        <v>344</v>
      </c>
      <c r="B391" t="s">
        <v>139</v>
      </c>
      <c r="C391" t="s">
        <v>9</v>
      </c>
      <c r="D391">
        <v>25</v>
      </c>
      <c r="E391">
        <v>76</v>
      </c>
      <c r="F391">
        <v>2</v>
      </c>
      <c r="G391">
        <v>1050</v>
      </c>
      <c r="H391">
        <v>1</v>
      </c>
      <c r="I391" t="s">
        <v>21</v>
      </c>
      <c r="J391">
        <v>550</v>
      </c>
      <c r="K391">
        <v>24</v>
      </c>
      <c r="L391">
        <v>2</v>
      </c>
      <c r="M391">
        <v>-1</v>
      </c>
      <c r="N391">
        <v>310</v>
      </c>
      <c r="O391">
        <v>750</v>
      </c>
      <c r="P391">
        <v>1.0000000000000001E-5</v>
      </c>
      <c r="Q391">
        <v>520</v>
      </c>
      <c r="R391">
        <v>6.2</v>
      </c>
      <c r="S391">
        <v>1.95</v>
      </c>
      <c r="T391">
        <v>3.8</v>
      </c>
      <c r="U391">
        <v>0</v>
      </c>
      <c r="V391">
        <v>2</v>
      </c>
      <c r="W391">
        <v>0</v>
      </c>
      <c r="X391">
        <v>0</v>
      </c>
      <c r="Y391">
        <v>0</v>
      </c>
      <c r="Z391">
        <v>0.03</v>
      </c>
      <c r="AA391">
        <v>2.1000000000000001E-2</v>
      </c>
      <c r="AB391">
        <v>4.0000000000000001E-3</v>
      </c>
      <c r="AC391">
        <v>8.0000000000000002E-3</v>
      </c>
    </row>
    <row r="392" spans="1:29" x14ac:dyDescent="0.3">
      <c r="A392" t="s">
        <v>345</v>
      </c>
      <c r="B392" t="s">
        <v>139</v>
      </c>
      <c r="C392" t="s">
        <v>9</v>
      </c>
      <c r="D392">
        <v>25</v>
      </c>
      <c r="E392">
        <v>76</v>
      </c>
      <c r="F392">
        <v>2</v>
      </c>
      <c r="G392">
        <v>900</v>
      </c>
      <c r="H392">
        <v>1</v>
      </c>
      <c r="I392" t="s">
        <v>21</v>
      </c>
      <c r="J392">
        <v>580</v>
      </c>
      <c r="K392">
        <v>8</v>
      </c>
      <c r="L392">
        <v>2</v>
      </c>
      <c r="M392">
        <v>-1</v>
      </c>
      <c r="N392">
        <v>310</v>
      </c>
      <c r="O392">
        <v>1160</v>
      </c>
      <c r="P392">
        <v>1.2E-4</v>
      </c>
      <c r="Q392">
        <v>520</v>
      </c>
      <c r="R392">
        <v>6.2</v>
      </c>
      <c r="S392">
        <v>1.95</v>
      </c>
      <c r="T392">
        <v>3.8</v>
      </c>
      <c r="U392">
        <v>0</v>
      </c>
      <c r="V392">
        <v>2</v>
      </c>
      <c r="W392">
        <v>0</v>
      </c>
      <c r="X392">
        <v>0</v>
      </c>
      <c r="Y392">
        <v>0</v>
      </c>
      <c r="Z392">
        <v>0.03</v>
      </c>
      <c r="AA392">
        <v>2.1000000000000001E-2</v>
      </c>
      <c r="AB392">
        <v>4.0000000000000001E-3</v>
      </c>
      <c r="AC392">
        <v>8.0000000000000002E-3</v>
      </c>
    </row>
    <row r="393" spans="1:29" x14ac:dyDescent="0.3">
      <c r="A393" t="s">
        <v>346</v>
      </c>
      <c r="B393" t="s">
        <v>139</v>
      </c>
      <c r="C393" t="s">
        <v>9</v>
      </c>
      <c r="D393">
        <v>25</v>
      </c>
      <c r="E393">
        <v>76</v>
      </c>
      <c r="F393">
        <v>2</v>
      </c>
      <c r="G393">
        <v>0</v>
      </c>
      <c r="H393">
        <v>0</v>
      </c>
      <c r="I393" t="s">
        <v>21</v>
      </c>
      <c r="J393">
        <v>940</v>
      </c>
      <c r="K393">
        <v>4</v>
      </c>
      <c r="L393">
        <v>2</v>
      </c>
      <c r="M393">
        <v>-1</v>
      </c>
      <c r="N393">
        <v>379</v>
      </c>
      <c r="O393">
        <v>1619</v>
      </c>
      <c r="P393">
        <v>9.16E-7</v>
      </c>
      <c r="Q393">
        <v>455</v>
      </c>
      <c r="R393">
        <v>6.51</v>
      </c>
      <c r="S393">
        <v>0</v>
      </c>
      <c r="T393">
        <v>0</v>
      </c>
      <c r="U393">
        <v>0</v>
      </c>
      <c r="V393">
        <v>0</v>
      </c>
      <c r="W393">
        <v>4.08</v>
      </c>
      <c r="X393">
        <v>0</v>
      </c>
      <c r="Y393">
        <v>0.16</v>
      </c>
      <c r="Z393">
        <v>0.19</v>
      </c>
      <c r="AA393">
        <v>0.01</v>
      </c>
      <c r="AB393">
        <v>5.0000000000000001E-3</v>
      </c>
      <c r="AC393">
        <v>1.6000000000000001E-3</v>
      </c>
    </row>
    <row r="394" spans="1:29" x14ac:dyDescent="0.3">
      <c r="A394" t="s">
        <v>347</v>
      </c>
      <c r="B394" t="s">
        <v>139</v>
      </c>
      <c r="C394" t="s">
        <v>9</v>
      </c>
      <c r="D394">
        <v>25</v>
      </c>
      <c r="E394">
        <v>76</v>
      </c>
      <c r="F394">
        <v>2</v>
      </c>
      <c r="G394">
        <v>0</v>
      </c>
      <c r="H394">
        <v>0</v>
      </c>
      <c r="I394" t="s">
        <v>21</v>
      </c>
      <c r="J394">
        <v>1030</v>
      </c>
      <c r="K394">
        <v>0.5</v>
      </c>
      <c r="L394">
        <v>2</v>
      </c>
      <c r="M394">
        <v>-1</v>
      </c>
      <c r="N394">
        <v>379</v>
      </c>
      <c r="O394">
        <v>1744</v>
      </c>
      <c r="P394">
        <v>1.2699999999999999E-6</v>
      </c>
      <c r="Q394">
        <v>455</v>
      </c>
      <c r="R394">
        <v>6.51</v>
      </c>
      <c r="S394">
        <v>0</v>
      </c>
      <c r="T394">
        <v>0</v>
      </c>
      <c r="U394">
        <v>0</v>
      </c>
      <c r="V394">
        <v>0</v>
      </c>
      <c r="W394">
        <v>4.08</v>
      </c>
      <c r="X394">
        <v>0</v>
      </c>
      <c r="Y394">
        <v>0.16</v>
      </c>
      <c r="Z394">
        <v>0.19</v>
      </c>
      <c r="AA394">
        <v>0.01</v>
      </c>
      <c r="AB394">
        <v>5.0000000000000001E-3</v>
      </c>
      <c r="AC394">
        <v>1.6000000000000001E-3</v>
      </c>
    </row>
    <row r="395" spans="1:29" x14ac:dyDescent="0.3">
      <c r="A395" t="s">
        <v>348</v>
      </c>
      <c r="B395" t="s">
        <v>139</v>
      </c>
      <c r="C395" t="s">
        <v>9</v>
      </c>
      <c r="D395">
        <v>25</v>
      </c>
      <c r="E395">
        <v>76</v>
      </c>
      <c r="F395">
        <v>2</v>
      </c>
      <c r="G395">
        <v>0</v>
      </c>
      <c r="H395">
        <v>0</v>
      </c>
      <c r="I395" t="s">
        <v>21</v>
      </c>
      <c r="J395">
        <v>0</v>
      </c>
      <c r="K395">
        <v>0</v>
      </c>
      <c r="L395">
        <v>2</v>
      </c>
      <c r="M395">
        <v>-1</v>
      </c>
      <c r="N395">
        <v>103</v>
      </c>
      <c r="O395">
        <v>4681</v>
      </c>
      <c r="P395">
        <v>8.9999999999999996E-7</v>
      </c>
      <c r="Q395">
        <v>538</v>
      </c>
      <c r="R395">
        <v>6</v>
      </c>
      <c r="S395">
        <v>0</v>
      </c>
      <c r="T395">
        <v>0</v>
      </c>
      <c r="U395">
        <v>0</v>
      </c>
      <c r="V395">
        <v>0</v>
      </c>
      <c r="W395">
        <v>4</v>
      </c>
      <c r="X395">
        <v>0</v>
      </c>
      <c r="Y395">
        <v>0.25</v>
      </c>
      <c r="Z395">
        <v>0.2</v>
      </c>
      <c r="AA395">
        <v>0.08</v>
      </c>
      <c r="AB395">
        <v>0.05</v>
      </c>
      <c r="AC395">
        <v>0.01</v>
      </c>
    </row>
    <row r="396" spans="1:29" x14ac:dyDescent="0.3">
      <c r="A396" t="s">
        <v>349</v>
      </c>
      <c r="B396" t="s">
        <v>139</v>
      </c>
      <c r="C396" t="s">
        <v>9</v>
      </c>
      <c r="D396">
        <v>25</v>
      </c>
      <c r="E396">
        <v>76</v>
      </c>
      <c r="F396">
        <v>2</v>
      </c>
      <c r="G396">
        <v>0</v>
      </c>
      <c r="H396">
        <v>0</v>
      </c>
      <c r="I396" t="s">
        <v>21</v>
      </c>
      <c r="J396">
        <v>900</v>
      </c>
      <c r="K396">
        <v>2</v>
      </c>
      <c r="L396">
        <v>2</v>
      </c>
      <c r="M396">
        <v>-1</v>
      </c>
      <c r="N396">
        <v>300</v>
      </c>
      <c r="O396">
        <v>4722.22</v>
      </c>
      <c r="P396">
        <v>4.4400000000000004E-9</v>
      </c>
      <c r="Q396">
        <v>475</v>
      </c>
      <c r="R396">
        <v>6</v>
      </c>
      <c r="S396">
        <v>0</v>
      </c>
      <c r="T396">
        <v>0</v>
      </c>
      <c r="U396">
        <v>0</v>
      </c>
      <c r="V396">
        <v>0</v>
      </c>
      <c r="W396">
        <v>4</v>
      </c>
      <c r="X396">
        <v>0</v>
      </c>
      <c r="Y396">
        <v>0.25</v>
      </c>
      <c r="Z396">
        <v>0.2</v>
      </c>
      <c r="AA396">
        <v>0.08</v>
      </c>
      <c r="AB396">
        <v>0.05</v>
      </c>
      <c r="AC396">
        <v>0.01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CCA80-F97A-40E8-B31C-48781A686289}">
  <dimension ref="A1:X223"/>
  <sheetViews>
    <sheetView topLeftCell="M1" workbookViewId="0">
      <selection activeCell="W2" sqref="W2:W219"/>
    </sheetView>
  </sheetViews>
  <sheetFormatPr defaultRowHeight="14.4" x14ac:dyDescent="0.3"/>
  <cols>
    <col min="3" max="3" width="17.77734375" style="2" customWidth="1"/>
    <col min="4" max="4" width="13.109375" customWidth="1"/>
    <col min="5" max="6" width="13.33203125" customWidth="1"/>
    <col min="7" max="7" width="13.44140625" customWidth="1"/>
    <col min="8" max="8" width="14.5546875" customWidth="1"/>
    <col min="9" max="9" width="12.77734375" customWidth="1"/>
    <col min="10" max="11" width="15.21875" customWidth="1"/>
    <col min="12" max="12" width="13.5546875" customWidth="1"/>
    <col min="13" max="13" width="16.109375" customWidth="1"/>
    <col min="14" max="14" width="12.6640625" customWidth="1"/>
    <col min="15" max="15" width="11.6640625" customWidth="1"/>
    <col min="16" max="16" width="31.44140625" customWidth="1"/>
    <col min="17" max="17" width="16.88671875" customWidth="1"/>
    <col min="18" max="18" width="15.5546875" customWidth="1"/>
    <col min="19" max="19" width="12.109375" customWidth="1"/>
    <col min="20" max="20" width="27.88671875" customWidth="1"/>
    <col min="21" max="21" width="18.6640625" style="11" customWidth="1"/>
    <col min="23" max="23" width="12" bestFit="1" customWidth="1"/>
    <col min="25" max="25" width="11" bestFit="1" customWidth="1"/>
  </cols>
  <sheetData>
    <row r="1" spans="1:24" s="3" customFormat="1" x14ac:dyDescent="0.3">
      <c r="A1" s="10" t="s">
        <v>0</v>
      </c>
      <c r="B1" s="1" t="s">
        <v>141</v>
      </c>
      <c r="C1" s="1" t="s">
        <v>142</v>
      </c>
      <c r="D1" s="12" t="s">
        <v>145</v>
      </c>
      <c r="E1" s="12" t="s">
        <v>150</v>
      </c>
      <c r="F1" s="1" t="s">
        <v>144</v>
      </c>
      <c r="G1" s="12" t="s">
        <v>146</v>
      </c>
      <c r="H1" s="12" t="s">
        <v>147</v>
      </c>
      <c r="I1" s="8" t="s">
        <v>20</v>
      </c>
      <c r="J1" s="12" t="s">
        <v>148</v>
      </c>
      <c r="K1" s="12" t="s">
        <v>149</v>
      </c>
      <c r="L1" s="1" t="s">
        <v>143</v>
      </c>
      <c r="M1" s="12" t="s">
        <v>1</v>
      </c>
      <c r="N1" s="12" t="s">
        <v>151</v>
      </c>
      <c r="O1" s="1" t="s">
        <v>140</v>
      </c>
      <c r="P1" s="12" t="s">
        <v>152</v>
      </c>
      <c r="Q1" s="12" t="s">
        <v>153</v>
      </c>
      <c r="R1" s="12" t="s">
        <v>154</v>
      </c>
      <c r="S1" s="12" t="s">
        <v>155</v>
      </c>
      <c r="T1" s="1" t="s">
        <v>156</v>
      </c>
      <c r="U1" s="13" t="s">
        <v>157</v>
      </c>
    </row>
    <row r="2" spans="1:24" s="7" customFormat="1" x14ac:dyDescent="0.3">
      <c r="A2" s="6" t="s">
        <v>31</v>
      </c>
      <c r="B2" s="6" t="s">
        <v>14</v>
      </c>
      <c r="C2" s="4" t="s">
        <v>13</v>
      </c>
      <c r="D2" s="5">
        <v>1030</v>
      </c>
      <c r="E2" s="5">
        <v>100</v>
      </c>
      <c r="F2" s="5">
        <v>1</v>
      </c>
      <c r="G2" s="5">
        <v>25</v>
      </c>
      <c r="H2" s="5">
        <v>2</v>
      </c>
      <c r="I2" s="9" t="s">
        <v>21</v>
      </c>
      <c r="J2" s="5">
        <v>25</v>
      </c>
      <c r="K2" s="5">
        <v>2</v>
      </c>
      <c r="L2" s="5">
        <v>0</v>
      </c>
      <c r="M2" s="5">
        <v>6</v>
      </c>
      <c r="N2" s="5">
        <v>0.1</v>
      </c>
      <c r="O2" s="5">
        <v>5025</v>
      </c>
      <c r="P2" s="4">
        <v>480</v>
      </c>
      <c r="Q2" s="5">
        <v>7.3</v>
      </c>
      <c r="R2" s="5">
        <v>2</v>
      </c>
      <c r="S2" s="5">
        <v>0.26500000000000001</v>
      </c>
      <c r="T2" s="5">
        <v>0.95917011249040085</v>
      </c>
      <c r="U2" s="11">
        <f>O2*(1-0.033/T2)</f>
        <v>4852.1161727824801</v>
      </c>
      <c r="W2" s="7">
        <f>5.7*10^(-7)*P2^(0.033)</f>
        <v>6.9880469874522094E-7</v>
      </c>
    </row>
    <row r="3" spans="1:24" x14ac:dyDescent="0.3">
      <c r="A3" t="s">
        <v>2</v>
      </c>
      <c r="B3" t="s">
        <v>3</v>
      </c>
      <c r="C3" s="2" t="s">
        <v>4</v>
      </c>
      <c r="D3">
        <v>25</v>
      </c>
      <c r="E3">
        <v>76</v>
      </c>
      <c r="F3">
        <v>2</v>
      </c>
      <c r="G3">
        <v>950</v>
      </c>
      <c r="H3">
        <v>2</v>
      </c>
      <c r="I3" t="s">
        <v>5</v>
      </c>
      <c r="J3">
        <v>600</v>
      </c>
      <c r="K3">
        <v>4</v>
      </c>
      <c r="L3">
        <v>0</v>
      </c>
      <c r="M3">
        <v>78</v>
      </c>
      <c r="N3">
        <v>0.06</v>
      </c>
      <c r="O3">
        <v>160000</v>
      </c>
      <c r="P3" s="2">
        <v>720</v>
      </c>
      <c r="Q3" s="11">
        <v>6.7380000000000004</v>
      </c>
      <c r="R3" s="11">
        <v>5.9</v>
      </c>
      <c r="S3" s="11">
        <v>0.18209999999999998</v>
      </c>
      <c r="T3">
        <v>0.77599052393341339</v>
      </c>
      <c r="U3" s="11">
        <f t="shared" ref="U3:U66" si="0">O3*(1-0.033/T3)</f>
        <v>153195.79319959186</v>
      </c>
      <c r="V3" s="7"/>
      <c r="W3" s="7">
        <f t="shared" ref="W3:W66" si="1">5.7*10^(-7)*P3^(0.033)</f>
        <v>7.0821778393768101E-7</v>
      </c>
      <c r="X3" s="7"/>
    </row>
    <row r="4" spans="1:24" x14ac:dyDescent="0.3">
      <c r="A4" t="s">
        <v>2</v>
      </c>
      <c r="B4" t="s">
        <v>3</v>
      </c>
      <c r="C4" s="2" t="s">
        <v>4</v>
      </c>
      <c r="D4">
        <v>25</v>
      </c>
      <c r="E4">
        <v>76</v>
      </c>
      <c r="F4">
        <v>2</v>
      </c>
      <c r="G4">
        <v>950</v>
      </c>
      <c r="H4">
        <v>2</v>
      </c>
      <c r="I4" t="s">
        <v>5</v>
      </c>
      <c r="J4">
        <v>600</v>
      </c>
      <c r="K4">
        <v>4</v>
      </c>
      <c r="L4">
        <v>0</v>
      </c>
      <c r="M4">
        <v>8</v>
      </c>
      <c r="N4">
        <v>0.06</v>
      </c>
      <c r="O4">
        <v>1550000</v>
      </c>
      <c r="P4" s="2">
        <v>720</v>
      </c>
      <c r="Q4" s="11">
        <v>6.7380000000000004</v>
      </c>
      <c r="R4" s="11">
        <v>5.9</v>
      </c>
      <c r="S4" s="11">
        <v>0.18209999999999998</v>
      </c>
      <c r="T4">
        <v>0.77599052393341339</v>
      </c>
      <c r="U4" s="11">
        <f t="shared" si="0"/>
        <v>1484084.2466210462</v>
      </c>
      <c r="V4" s="7"/>
      <c r="W4" s="7">
        <f t="shared" si="1"/>
        <v>7.0821778393768101E-7</v>
      </c>
      <c r="X4" s="7"/>
    </row>
    <row r="5" spans="1:24" x14ac:dyDescent="0.3">
      <c r="A5" t="s">
        <v>2</v>
      </c>
      <c r="B5" t="s">
        <v>3</v>
      </c>
      <c r="C5" s="2" t="s">
        <v>4</v>
      </c>
      <c r="D5">
        <v>25</v>
      </c>
      <c r="E5">
        <v>76</v>
      </c>
      <c r="F5">
        <v>2</v>
      </c>
      <c r="G5">
        <v>950</v>
      </c>
      <c r="H5">
        <v>2</v>
      </c>
      <c r="I5" t="s">
        <v>5</v>
      </c>
      <c r="J5">
        <v>600</v>
      </c>
      <c r="K5">
        <v>4</v>
      </c>
      <c r="L5">
        <v>0</v>
      </c>
      <c r="M5">
        <v>132</v>
      </c>
      <c r="N5">
        <v>0.06</v>
      </c>
      <c r="O5">
        <v>50000</v>
      </c>
      <c r="P5" s="2">
        <v>760</v>
      </c>
      <c r="Q5" s="11">
        <v>6.7380000000000004</v>
      </c>
      <c r="R5" s="11">
        <v>5.9</v>
      </c>
      <c r="S5" s="11">
        <v>0.18209999999999998</v>
      </c>
      <c r="T5">
        <v>0.77599052393341339</v>
      </c>
      <c r="U5" s="11">
        <f t="shared" si="0"/>
        <v>47873.685374872461</v>
      </c>
      <c r="V5" s="7"/>
      <c r="W5" s="7">
        <f t="shared" si="1"/>
        <v>7.0948252702288829E-7</v>
      </c>
      <c r="X5" s="7"/>
    </row>
    <row r="6" spans="1:24" x14ac:dyDescent="0.3">
      <c r="A6" t="s">
        <v>2</v>
      </c>
      <c r="B6" t="s">
        <v>3</v>
      </c>
      <c r="C6" s="2" t="s">
        <v>4</v>
      </c>
      <c r="D6">
        <v>25</v>
      </c>
      <c r="E6">
        <v>76</v>
      </c>
      <c r="F6">
        <v>2</v>
      </c>
      <c r="G6">
        <v>950</v>
      </c>
      <c r="H6">
        <v>2</v>
      </c>
      <c r="I6" t="s">
        <v>5</v>
      </c>
      <c r="J6">
        <v>600</v>
      </c>
      <c r="K6">
        <v>4</v>
      </c>
      <c r="L6">
        <v>0</v>
      </c>
      <c r="M6">
        <v>22</v>
      </c>
      <c r="N6">
        <v>0.06</v>
      </c>
      <c r="O6">
        <v>650000</v>
      </c>
      <c r="P6" s="2">
        <v>760</v>
      </c>
      <c r="Q6" s="11">
        <v>6.7380000000000004</v>
      </c>
      <c r="R6" s="11">
        <v>5.9</v>
      </c>
      <c r="S6" s="11">
        <v>0.18209999999999998</v>
      </c>
      <c r="T6">
        <v>0.77599052393341339</v>
      </c>
      <c r="U6" s="11">
        <f t="shared" si="0"/>
        <v>622357.90987334203</v>
      </c>
      <c r="V6" s="7"/>
      <c r="W6" s="7">
        <f t="shared" si="1"/>
        <v>7.0948252702288829E-7</v>
      </c>
      <c r="X6" s="7"/>
    </row>
    <row r="7" spans="1:24" x14ac:dyDescent="0.3">
      <c r="A7" t="s">
        <v>2</v>
      </c>
      <c r="B7" t="s">
        <v>3</v>
      </c>
      <c r="C7" s="2" t="s">
        <v>4</v>
      </c>
      <c r="D7">
        <v>25</v>
      </c>
      <c r="E7">
        <v>76</v>
      </c>
      <c r="F7">
        <v>2</v>
      </c>
      <c r="G7">
        <v>950</v>
      </c>
      <c r="H7">
        <v>2</v>
      </c>
      <c r="I7" t="s">
        <v>5</v>
      </c>
      <c r="J7">
        <v>600</v>
      </c>
      <c r="K7">
        <v>4</v>
      </c>
      <c r="L7">
        <v>0</v>
      </c>
      <c r="M7">
        <v>116</v>
      </c>
      <c r="N7">
        <v>0.06</v>
      </c>
      <c r="O7">
        <v>300000</v>
      </c>
      <c r="P7" s="2">
        <v>800</v>
      </c>
      <c r="Q7" s="11">
        <v>6.7380000000000004</v>
      </c>
      <c r="R7" s="11">
        <v>5.9</v>
      </c>
      <c r="S7" s="11">
        <v>0.18209999999999998</v>
      </c>
      <c r="T7">
        <v>0.80989229894995984</v>
      </c>
      <c r="U7" s="11">
        <f t="shared" si="0"/>
        <v>287776.15244294144</v>
      </c>
      <c r="V7" s="7"/>
      <c r="W7" s="7">
        <f t="shared" si="1"/>
        <v>7.1068446995952741E-7</v>
      </c>
      <c r="X7" s="7"/>
    </row>
    <row r="8" spans="1:24" x14ac:dyDescent="0.3">
      <c r="A8" t="s">
        <v>2</v>
      </c>
      <c r="B8" t="s">
        <v>3</v>
      </c>
      <c r="C8" s="2" t="s">
        <v>4</v>
      </c>
      <c r="D8">
        <v>25</v>
      </c>
      <c r="E8">
        <v>76</v>
      </c>
      <c r="F8">
        <v>2</v>
      </c>
      <c r="G8">
        <v>950</v>
      </c>
      <c r="H8">
        <v>2</v>
      </c>
      <c r="I8" t="s">
        <v>5</v>
      </c>
      <c r="J8">
        <v>600</v>
      </c>
      <c r="K8">
        <v>4</v>
      </c>
      <c r="L8">
        <v>0</v>
      </c>
      <c r="M8">
        <v>22</v>
      </c>
      <c r="N8">
        <v>0.06</v>
      </c>
      <c r="O8">
        <v>540000</v>
      </c>
      <c r="P8" s="2">
        <v>800</v>
      </c>
      <c r="Q8" s="11">
        <v>6.7380000000000004</v>
      </c>
      <c r="R8" s="11">
        <v>5.9</v>
      </c>
      <c r="S8" s="11">
        <v>0.18209999999999998</v>
      </c>
      <c r="T8">
        <v>0.77599052393341339</v>
      </c>
      <c r="U8" s="11">
        <f t="shared" si="0"/>
        <v>517035.80204862257</v>
      </c>
      <c r="V8" s="7"/>
      <c r="W8" s="7">
        <f t="shared" si="1"/>
        <v>7.1068446995952741E-7</v>
      </c>
      <c r="X8" s="7"/>
    </row>
    <row r="9" spans="1:24" x14ac:dyDescent="0.3">
      <c r="A9" t="s">
        <v>7</v>
      </c>
      <c r="B9" t="s">
        <v>8</v>
      </c>
      <c r="C9" s="2" t="s">
        <v>6</v>
      </c>
      <c r="D9">
        <v>25</v>
      </c>
      <c r="E9">
        <v>76</v>
      </c>
      <c r="F9">
        <v>2</v>
      </c>
      <c r="G9">
        <v>25</v>
      </c>
      <c r="H9">
        <v>1</v>
      </c>
      <c r="I9" t="s">
        <v>21</v>
      </c>
      <c r="J9">
        <v>25</v>
      </c>
      <c r="K9">
        <v>1</v>
      </c>
      <c r="L9">
        <v>0</v>
      </c>
      <c r="M9">
        <v>70</v>
      </c>
      <c r="N9">
        <v>-1</v>
      </c>
      <c r="O9">
        <v>10000000</v>
      </c>
      <c r="P9" s="2">
        <v>340</v>
      </c>
      <c r="Q9">
        <v>6.7649999999999997</v>
      </c>
      <c r="R9">
        <v>4.5</v>
      </c>
      <c r="S9">
        <v>0.73</v>
      </c>
      <c r="T9">
        <v>0.61625969192544583</v>
      </c>
      <c r="U9" s="11">
        <f t="shared" si="0"/>
        <v>9464511.4643650539</v>
      </c>
      <c r="V9" s="7"/>
      <c r="W9" s="7">
        <f t="shared" si="1"/>
        <v>6.9089756162128487E-7</v>
      </c>
      <c r="X9" s="7"/>
    </row>
    <row r="10" spans="1:24" x14ac:dyDescent="0.3">
      <c r="A10" t="s">
        <v>7</v>
      </c>
      <c r="B10" t="s">
        <v>8</v>
      </c>
      <c r="C10" s="2" t="s">
        <v>9</v>
      </c>
      <c r="D10">
        <v>25</v>
      </c>
      <c r="E10">
        <v>76</v>
      </c>
      <c r="F10">
        <v>2</v>
      </c>
      <c r="G10">
        <v>650</v>
      </c>
      <c r="H10">
        <v>3</v>
      </c>
      <c r="I10" t="s">
        <v>21</v>
      </c>
      <c r="J10">
        <v>25</v>
      </c>
      <c r="K10">
        <v>1</v>
      </c>
      <c r="L10">
        <v>0</v>
      </c>
      <c r="M10">
        <v>70</v>
      </c>
      <c r="N10">
        <v>0.1</v>
      </c>
      <c r="O10">
        <v>10000000</v>
      </c>
      <c r="P10" s="2">
        <v>453</v>
      </c>
      <c r="Q10">
        <v>6.7649999999999997</v>
      </c>
      <c r="R10">
        <v>4.5</v>
      </c>
      <c r="S10">
        <v>0.73</v>
      </c>
      <c r="T10">
        <v>0.61179755234275957</v>
      </c>
      <c r="U10" s="11">
        <f t="shared" si="0"/>
        <v>9460605.8838641476</v>
      </c>
      <c r="V10" s="7"/>
      <c r="W10" s="7">
        <f t="shared" si="1"/>
        <v>6.9747090598042519E-7</v>
      </c>
      <c r="X10" s="7"/>
    </row>
    <row r="11" spans="1:24" x14ac:dyDescent="0.3">
      <c r="A11" t="s">
        <v>7</v>
      </c>
      <c r="B11" t="s">
        <v>8</v>
      </c>
      <c r="C11" s="2" t="s">
        <v>4</v>
      </c>
      <c r="D11">
        <v>25</v>
      </c>
      <c r="E11">
        <v>76</v>
      </c>
      <c r="F11">
        <v>2</v>
      </c>
      <c r="G11">
        <v>950</v>
      </c>
      <c r="H11">
        <v>2</v>
      </c>
      <c r="I11" t="s">
        <v>5</v>
      </c>
      <c r="J11">
        <v>600</v>
      </c>
      <c r="K11">
        <v>4</v>
      </c>
      <c r="L11">
        <v>1</v>
      </c>
      <c r="M11">
        <v>70</v>
      </c>
      <c r="N11">
        <v>-1</v>
      </c>
      <c r="O11">
        <v>10000000</v>
      </c>
      <c r="P11" s="2">
        <v>340</v>
      </c>
      <c r="Q11">
        <v>6.7649999999999997</v>
      </c>
      <c r="R11">
        <v>4.5</v>
      </c>
      <c r="S11">
        <v>0.73</v>
      </c>
      <c r="T11">
        <v>0.69469507889398208</v>
      </c>
      <c r="U11" s="11">
        <f t="shared" si="0"/>
        <v>9524971.4442696348</v>
      </c>
      <c r="V11" s="7"/>
      <c r="W11" s="7">
        <f t="shared" si="1"/>
        <v>6.9089756162128487E-7</v>
      </c>
      <c r="X11" s="7"/>
    </row>
    <row r="12" spans="1:24" x14ac:dyDescent="0.3">
      <c r="A12" t="s">
        <v>7</v>
      </c>
      <c r="B12" t="s">
        <v>10</v>
      </c>
      <c r="C12" s="2" t="s">
        <v>6</v>
      </c>
      <c r="D12">
        <v>25</v>
      </c>
      <c r="E12">
        <v>76</v>
      </c>
      <c r="F12">
        <v>2</v>
      </c>
      <c r="G12">
        <v>25</v>
      </c>
      <c r="H12">
        <v>1</v>
      </c>
      <c r="I12" t="s">
        <v>21</v>
      </c>
      <c r="J12">
        <v>25</v>
      </c>
      <c r="K12">
        <v>1</v>
      </c>
      <c r="L12">
        <v>0</v>
      </c>
      <c r="M12">
        <v>70</v>
      </c>
      <c r="N12">
        <v>-1</v>
      </c>
      <c r="O12">
        <v>10000000</v>
      </c>
      <c r="P12" s="2">
        <v>464</v>
      </c>
      <c r="Q12">
        <v>6.7649999999999997</v>
      </c>
      <c r="R12">
        <v>4.5</v>
      </c>
      <c r="S12">
        <v>0.73</v>
      </c>
      <c r="T12">
        <v>0.61625969192544583</v>
      </c>
      <c r="U12" s="11">
        <f t="shared" si="0"/>
        <v>9464511.4643650539</v>
      </c>
      <c r="V12" s="7"/>
      <c r="W12" s="7">
        <f t="shared" si="1"/>
        <v>6.9802334729666484E-7</v>
      </c>
      <c r="X12" s="7"/>
    </row>
    <row r="13" spans="1:24" x14ac:dyDescent="0.3">
      <c r="A13" t="s">
        <v>7</v>
      </c>
      <c r="B13" t="s">
        <v>11</v>
      </c>
      <c r="C13" s="2" t="s">
        <v>9</v>
      </c>
      <c r="D13">
        <v>25</v>
      </c>
      <c r="E13">
        <v>76</v>
      </c>
      <c r="F13">
        <v>2</v>
      </c>
      <c r="G13">
        <v>600</v>
      </c>
      <c r="H13">
        <v>1</v>
      </c>
      <c r="I13" t="s">
        <v>21</v>
      </c>
      <c r="J13">
        <v>25</v>
      </c>
      <c r="K13">
        <v>1</v>
      </c>
      <c r="L13">
        <v>0</v>
      </c>
      <c r="M13">
        <v>70</v>
      </c>
      <c r="N13">
        <v>0.1</v>
      </c>
      <c r="O13">
        <v>10000000</v>
      </c>
      <c r="P13" s="2">
        <v>388</v>
      </c>
      <c r="Q13">
        <v>6.7649999999999997</v>
      </c>
      <c r="R13">
        <v>4.5</v>
      </c>
      <c r="S13">
        <v>0.73</v>
      </c>
      <c r="T13">
        <v>0.61625969192544583</v>
      </c>
      <c r="U13" s="11">
        <f t="shared" si="0"/>
        <v>9464511.4643650539</v>
      </c>
      <c r="V13" s="7"/>
      <c r="W13" s="7">
        <f t="shared" si="1"/>
        <v>6.9391504331182774E-7</v>
      </c>
    </row>
    <row r="14" spans="1:24" x14ac:dyDescent="0.3">
      <c r="A14" t="s">
        <v>7</v>
      </c>
      <c r="B14" t="s">
        <v>12</v>
      </c>
      <c r="C14" s="2" t="s">
        <v>13</v>
      </c>
      <c r="D14">
        <v>920</v>
      </c>
      <c r="E14">
        <v>103</v>
      </c>
      <c r="F14">
        <v>2</v>
      </c>
      <c r="G14">
        <v>25</v>
      </c>
      <c r="H14">
        <v>1</v>
      </c>
      <c r="I14" t="s">
        <v>21</v>
      </c>
      <c r="J14">
        <v>25</v>
      </c>
      <c r="K14">
        <v>1</v>
      </c>
      <c r="L14">
        <v>0</v>
      </c>
      <c r="M14">
        <v>70</v>
      </c>
      <c r="N14">
        <v>0.1</v>
      </c>
      <c r="O14">
        <v>1000000</v>
      </c>
      <c r="P14" s="2">
        <v>500</v>
      </c>
      <c r="Q14">
        <v>6.7649999999999997</v>
      </c>
      <c r="R14">
        <v>4.5</v>
      </c>
      <c r="S14">
        <v>0.73</v>
      </c>
      <c r="T14">
        <v>0.61179755234275957</v>
      </c>
      <c r="U14" s="11">
        <f t="shared" si="0"/>
        <v>946060.58838641481</v>
      </c>
      <c r="V14" s="7"/>
      <c r="W14" s="7">
        <f t="shared" si="1"/>
        <v>6.9974671095948523E-7</v>
      </c>
    </row>
    <row r="15" spans="1:24" x14ac:dyDescent="0.3">
      <c r="A15" t="s">
        <v>7</v>
      </c>
      <c r="B15" t="s">
        <v>14</v>
      </c>
      <c r="C15" s="2" t="s">
        <v>9</v>
      </c>
      <c r="D15">
        <v>25</v>
      </c>
      <c r="E15">
        <v>76</v>
      </c>
      <c r="F15">
        <v>2</v>
      </c>
      <c r="G15">
        <v>730</v>
      </c>
      <c r="H15">
        <v>2</v>
      </c>
      <c r="I15" t="s">
        <v>21</v>
      </c>
      <c r="J15">
        <v>25</v>
      </c>
      <c r="K15">
        <v>1</v>
      </c>
      <c r="L15">
        <v>0</v>
      </c>
      <c r="M15">
        <v>70</v>
      </c>
      <c r="N15">
        <v>0.01</v>
      </c>
      <c r="O15">
        <v>1000000</v>
      </c>
      <c r="P15" s="2">
        <v>482</v>
      </c>
      <c r="Q15">
        <v>6.7649999999999997</v>
      </c>
      <c r="R15">
        <v>4.5</v>
      </c>
      <c r="S15">
        <v>0.73</v>
      </c>
      <c r="T15">
        <v>0.61625969192544583</v>
      </c>
      <c r="U15" s="11">
        <f t="shared" si="0"/>
        <v>946451.14643650537</v>
      </c>
      <c r="V15" s="7"/>
      <c r="W15" s="7">
        <f t="shared" si="1"/>
        <v>6.989005913459576E-7</v>
      </c>
    </row>
    <row r="16" spans="1:24" x14ac:dyDescent="0.3">
      <c r="A16" t="s">
        <v>7</v>
      </c>
      <c r="B16" t="s">
        <v>8</v>
      </c>
      <c r="C16" s="2" t="s">
        <v>9</v>
      </c>
      <c r="D16">
        <v>25</v>
      </c>
      <c r="E16">
        <v>76</v>
      </c>
      <c r="F16">
        <v>2</v>
      </c>
      <c r="G16">
        <v>500</v>
      </c>
      <c r="H16">
        <v>2</v>
      </c>
      <c r="I16" t="s">
        <v>21</v>
      </c>
      <c r="J16">
        <v>25</v>
      </c>
      <c r="K16">
        <v>1</v>
      </c>
      <c r="L16">
        <v>0</v>
      </c>
      <c r="M16">
        <v>70</v>
      </c>
      <c r="N16">
        <v>0.1</v>
      </c>
      <c r="O16">
        <v>5000000</v>
      </c>
      <c r="P16" s="2">
        <v>155</v>
      </c>
      <c r="Q16">
        <v>6.7649999999999997</v>
      </c>
      <c r="R16">
        <v>4.5</v>
      </c>
      <c r="S16">
        <v>0.73</v>
      </c>
      <c r="T16">
        <v>0.61625969192544583</v>
      </c>
      <c r="U16" s="11">
        <f t="shared" si="0"/>
        <v>4732255.732182527</v>
      </c>
      <c r="V16" s="7"/>
      <c r="W16" s="7">
        <f t="shared" si="1"/>
        <v>6.7321812774973763E-7</v>
      </c>
    </row>
    <row r="17" spans="1:23" x14ac:dyDescent="0.3">
      <c r="A17" t="s">
        <v>7</v>
      </c>
      <c r="B17" t="s">
        <v>8</v>
      </c>
      <c r="C17" s="2" t="s">
        <v>13</v>
      </c>
      <c r="D17">
        <v>900</v>
      </c>
      <c r="E17">
        <v>120</v>
      </c>
      <c r="F17">
        <v>2</v>
      </c>
      <c r="G17">
        <v>25</v>
      </c>
      <c r="H17">
        <v>1</v>
      </c>
      <c r="I17" t="s">
        <v>21</v>
      </c>
      <c r="J17">
        <v>25</v>
      </c>
      <c r="K17">
        <v>1</v>
      </c>
      <c r="L17">
        <v>0</v>
      </c>
      <c r="M17">
        <v>70</v>
      </c>
      <c r="N17">
        <v>0.1</v>
      </c>
      <c r="O17">
        <v>5000000</v>
      </c>
      <c r="P17" s="2">
        <v>265</v>
      </c>
      <c r="Q17">
        <v>6.7649999999999997</v>
      </c>
      <c r="R17">
        <v>4.5</v>
      </c>
      <c r="S17">
        <v>0.73</v>
      </c>
      <c r="T17">
        <v>0.61179755234275957</v>
      </c>
      <c r="U17" s="11">
        <f t="shared" si="0"/>
        <v>4730302.9419320738</v>
      </c>
      <c r="V17" s="7"/>
      <c r="W17" s="7">
        <f t="shared" si="1"/>
        <v>6.8523883730212022E-7</v>
      </c>
    </row>
    <row r="18" spans="1:23" x14ac:dyDescent="0.3">
      <c r="A18" t="s">
        <v>7</v>
      </c>
      <c r="B18" t="s">
        <v>8</v>
      </c>
      <c r="C18" s="2" t="s">
        <v>13</v>
      </c>
      <c r="D18">
        <v>900</v>
      </c>
      <c r="E18">
        <v>120</v>
      </c>
      <c r="F18">
        <v>2</v>
      </c>
      <c r="G18">
        <v>25</v>
      </c>
      <c r="H18">
        <v>1</v>
      </c>
      <c r="I18" t="s">
        <v>21</v>
      </c>
      <c r="J18">
        <v>25</v>
      </c>
      <c r="K18">
        <v>1</v>
      </c>
      <c r="L18">
        <v>0</v>
      </c>
      <c r="M18">
        <v>70</v>
      </c>
      <c r="N18">
        <v>0.1</v>
      </c>
      <c r="O18">
        <v>10000000</v>
      </c>
      <c r="P18" s="2">
        <v>430</v>
      </c>
      <c r="Q18">
        <v>6.7649999999999997</v>
      </c>
      <c r="R18">
        <v>4.5</v>
      </c>
      <c r="S18">
        <v>0.73</v>
      </c>
      <c r="T18">
        <v>0.61625969192544583</v>
      </c>
      <c r="U18" s="11">
        <f t="shared" si="0"/>
        <v>9464511.4643650539</v>
      </c>
      <c r="V18" s="7"/>
      <c r="W18" s="7">
        <f t="shared" si="1"/>
        <v>6.9627261559342036E-7</v>
      </c>
    </row>
    <row r="19" spans="1:23" x14ac:dyDescent="0.3">
      <c r="A19" t="s">
        <v>7</v>
      </c>
      <c r="B19" t="s">
        <v>14</v>
      </c>
      <c r="C19" s="2" t="s">
        <v>9</v>
      </c>
      <c r="D19">
        <v>25</v>
      </c>
      <c r="E19">
        <v>76</v>
      </c>
      <c r="F19">
        <v>2</v>
      </c>
      <c r="G19">
        <v>700</v>
      </c>
      <c r="H19">
        <v>1</v>
      </c>
      <c r="I19" t="s">
        <v>21</v>
      </c>
      <c r="J19">
        <v>25</v>
      </c>
      <c r="K19">
        <v>1</v>
      </c>
      <c r="L19">
        <v>0</v>
      </c>
      <c r="M19">
        <v>70</v>
      </c>
      <c r="N19">
        <v>-1</v>
      </c>
      <c r="O19">
        <v>10000000</v>
      </c>
      <c r="P19" s="2">
        <v>370</v>
      </c>
      <c r="Q19">
        <v>6.7649999999999997</v>
      </c>
      <c r="R19">
        <v>4.5</v>
      </c>
      <c r="S19">
        <v>0.73</v>
      </c>
      <c r="T19">
        <v>0.61179755234275957</v>
      </c>
      <c r="U19" s="11">
        <f t="shared" si="0"/>
        <v>9460605.8838641476</v>
      </c>
      <c r="V19" s="7"/>
      <c r="W19" s="7">
        <f t="shared" si="1"/>
        <v>6.9282813016766237E-7</v>
      </c>
    </row>
    <row r="20" spans="1:23" x14ac:dyDescent="0.3">
      <c r="A20" t="s">
        <v>7</v>
      </c>
      <c r="B20" t="s">
        <v>8</v>
      </c>
      <c r="C20" s="2" t="s">
        <v>9</v>
      </c>
      <c r="D20">
        <v>25</v>
      </c>
      <c r="E20">
        <v>76</v>
      </c>
      <c r="F20">
        <v>2</v>
      </c>
      <c r="G20">
        <v>800</v>
      </c>
      <c r="H20">
        <v>2</v>
      </c>
      <c r="I20" t="s">
        <v>21</v>
      </c>
      <c r="J20">
        <v>25</v>
      </c>
      <c r="K20">
        <v>1</v>
      </c>
      <c r="L20">
        <v>0</v>
      </c>
      <c r="M20">
        <v>70</v>
      </c>
      <c r="N20">
        <v>-1</v>
      </c>
      <c r="O20">
        <v>10000000</v>
      </c>
      <c r="P20" s="2">
        <v>580</v>
      </c>
      <c r="Q20">
        <v>6.7649999999999997</v>
      </c>
      <c r="R20">
        <v>4.5</v>
      </c>
      <c r="S20">
        <v>0.73</v>
      </c>
      <c r="T20">
        <v>0.61625969192544583</v>
      </c>
      <c r="U20" s="11">
        <f t="shared" si="0"/>
        <v>9464511.4643650539</v>
      </c>
      <c r="V20" s="7"/>
      <c r="W20" s="7">
        <f t="shared" si="1"/>
        <v>7.0318237934689411E-7</v>
      </c>
    </row>
    <row r="21" spans="1:23" x14ac:dyDescent="0.3">
      <c r="A21" t="s">
        <v>7</v>
      </c>
      <c r="B21" t="s">
        <v>8</v>
      </c>
      <c r="C21" s="2" t="s">
        <v>13</v>
      </c>
      <c r="D21">
        <v>920</v>
      </c>
      <c r="E21">
        <v>100</v>
      </c>
      <c r="F21">
        <v>2</v>
      </c>
      <c r="G21">
        <v>25</v>
      </c>
      <c r="H21">
        <v>1</v>
      </c>
      <c r="I21" t="s">
        <v>21</v>
      </c>
      <c r="J21">
        <v>25</v>
      </c>
      <c r="K21">
        <v>1</v>
      </c>
      <c r="L21">
        <v>0</v>
      </c>
      <c r="M21">
        <v>70</v>
      </c>
      <c r="N21">
        <v>0.2</v>
      </c>
      <c r="O21">
        <v>200000</v>
      </c>
      <c r="P21" s="2">
        <v>100</v>
      </c>
      <c r="Q21">
        <v>6.7649999999999997</v>
      </c>
      <c r="R21">
        <v>4.5</v>
      </c>
      <c r="S21">
        <v>0.73</v>
      </c>
      <c r="T21">
        <v>0.61625969192544583</v>
      </c>
      <c r="U21" s="11">
        <f t="shared" si="0"/>
        <v>189290.22928730107</v>
      </c>
      <c r="V21" s="7"/>
      <c r="W21" s="7">
        <f t="shared" si="1"/>
        <v>6.6355183676397996E-7</v>
      </c>
    </row>
    <row r="22" spans="1:23" x14ac:dyDescent="0.3">
      <c r="A22" t="s">
        <v>7</v>
      </c>
      <c r="B22" t="s">
        <v>16</v>
      </c>
      <c r="C22" s="2" t="s">
        <v>6</v>
      </c>
      <c r="D22">
        <v>25</v>
      </c>
      <c r="E22">
        <v>76</v>
      </c>
      <c r="F22">
        <v>2</v>
      </c>
      <c r="G22">
        <v>25</v>
      </c>
      <c r="H22">
        <v>1</v>
      </c>
      <c r="I22" t="s">
        <v>21</v>
      </c>
      <c r="J22">
        <v>25</v>
      </c>
      <c r="K22">
        <v>1</v>
      </c>
      <c r="L22">
        <v>0</v>
      </c>
      <c r="M22">
        <v>70</v>
      </c>
      <c r="N22">
        <v>-1</v>
      </c>
      <c r="O22">
        <v>10000000</v>
      </c>
      <c r="P22" s="2">
        <v>88</v>
      </c>
      <c r="Q22">
        <v>6.7649999999999997</v>
      </c>
      <c r="R22">
        <v>4.5</v>
      </c>
      <c r="S22">
        <v>0.73</v>
      </c>
      <c r="T22">
        <v>0.61625969192544583</v>
      </c>
      <c r="U22" s="11">
        <f t="shared" si="0"/>
        <v>9464511.4643650539</v>
      </c>
      <c r="V22" s="7"/>
      <c r="W22" s="7">
        <f t="shared" si="1"/>
        <v>6.6075853841333952E-7</v>
      </c>
    </row>
    <row r="23" spans="1:23" x14ac:dyDescent="0.3">
      <c r="A23" t="s">
        <v>7</v>
      </c>
      <c r="B23" t="s">
        <v>8</v>
      </c>
      <c r="C23" s="2" t="s">
        <v>17</v>
      </c>
      <c r="D23">
        <v>920</v>
      </c>
      <c r="E23">
        <v>103</v>
      </c>
      <c r="F23">
        <v>2</v>
      </c>
      <c r="G23">
        <v>700</v>
      </c>
      <c r="H23">
        <v>1</v>
      </c>
      <c r="I23" t="s">
        <v>21</v>
      </c>
      <c r="J23">
        <v>25</v>
      </c>
      <c r="K23">
        <v>1</v>
      </c>
      <c r="L23">
        <v>0</v>
      </c>
      <c r="M23">
        <v>70</v>
      </c>
      <c r="N23">
        <v>-1</v>
      </c>
      <c r="O23">
        <v>10000000</v>
      </c>
      <c r="P23" s="2">
        <v>250</v>
      </c>
      <c r="Q23">
        <v>6.7649999999999997</v>
      </c>
      <c r="R23">
        <v>4.5</v>
      </c>
      <c r="S23">
        <v>0.73</v>
      </c>
      <c r="T23">
        <v>0.61625969192544583</v>
      </c>
      <c r="U23" s="11">
        <f t="shared" si="0"/>
        <v>9464511.4643650539</v>
      </c>
      <c r="V23" s="7"/>
      <c r="W23" s="7">
        <f t="shared" si="1"/>
        <v>6.8392247538457671E-7</v>
      </c>
    </row>
    <row r="24" spans="1:23" x14ac:dyDescent="0.3">
      <c r="A24" t="s">
        <v>7</v>
      </c>
      <c r="B24" t="s">
        <v>8</v>
      </c>
      <c r="C24" s="2" t="s">
        <v>18</v>
      </c>
      <c r="D24">
        <v>920</v>
      </c>
      <c r="E24">
        <v>103</v>
      </c>
      <c r="F24">
        <v>2</v>
      </c>
      <c r="G24">
        <v>800</v>
      </c>
      <c r="H24">
        <v>2</v>
      </c>
      <c r="I24" t="s">
        <v>21</v>
      </c>
      <c r="J24">
        <v>25</v>
      </c>
      <c r="K24">
        <v>1</v>
      </c>
      <c r="L24">
        <v>1</v>
      </c>
      <c r="M24">
        <v>70</v>
      </c>
      <c r="N24">
        <v>-1</v>
      </c>
      <c r="O24">
        <v>10000000</v>
      </c>
      <c r="P24" s="2">
        <v>420</v>
      </c>
      <c r="Q24">
        <v>6.7649999999999997</v>
      </c>
      <c r="R24">
        <v>4.5</v>
      </c>
      <c r="S24">
        <v>0.73</v>
      </c>
      <c r="T24">
        <v>0.61179755234275957</v>
      </c>
      <c r="U24" s="11">
        <f t="shared" si="0"/>
        <v>9460605.8838641476</v>
      </c>
      <c r="V24" s="7"/>
      <c r="W24" s="7">
        <f t="shared" si="1"/>
        <v>6.957321652998617E-7</v>
      </c>
    </row>
    <row r="25" spans="1:23" x14ac:dyDescent="0.3">
      <c r="A25" t="s">
        <v>7</v>
      </c>
      <c r="B25" t="s">
        <v>8</v>
      </c>
      <c r="C25" s="2" t="s">
        <v>6</v>
      </c>
      <c r="D25">
        <v>25</v>
      </c>
      <c r="E25">
        <v>76</v>
      </c>
      <c r="F25">
        <v>2</v>
      </c>
      <c r="G25">
        <v>25</v>
      </c>
      <c r="H25">
        <v>1</v>
      </c>
      <c r="I25" t="s">
        <v>21</v>
      </c>
      <c r="J25">
        <v>25</v>
      </c>
      <c r="K25">
        <v>1</v>
      </c>
      <c r="L25">
        <v>0</v>
      </c>
      <c r="M25">
        <v>70</v>
      </c>
      <c r="N25">
        <v>-1</v>
      </c>
      <c r="O25">
        <v>10000000</v>
      </c>
      <c r="P25" s="2">
        <v>410</v>
      </c>
      <c r="Q25">
        <v>6.7649999999999997</v>
      </c>
      <c r="R25">
        <v>4.5</v>
      </c>
      <c r="S25">
        <v>0.73</v>
      </c>
      <c r="T25">
        <v>0.61625969192544583</v>
      </c>
      <c r="U25" s="11">
        <f t="shared" si="0"/>
        <v>9464511.4643650539</v>
      </c>
      <c r="V25" s="7"/>
      <c r="W25" s="7">
        <f t="shared" si="1"/>
        <v>6.951791256455108E-7</v>
      </c>
    </row>
    <row r="26" spans="1:23" x14ac:dyDescent="0.3">
      <c r="A26" t="s">
        <v>7</v>
      </c>
      <c r="B26" t="s">
        <v>16</v>
      </c>
      <c r="C26" s="2" t="s">
        <v>6</v>
      </c>
      <c r="D26">
        <v>25</v>
      </c>
      <c r="E26">
        <v>76</v>
      </c>
      <c r="F26">
        <v>2</v>
      </c>
      <c r="G26">
        <v>25</v>
      </c>
      <c r="H26">
        <v>1</v>
      </c>
      <c r="I26" t="s">
        <v>21</v>
      </c>
      <c r="J26">
        <v>25</v>
      </c>
      <c r="K26">
        <v>1</v>
      </c>
      <c r="L26">
        <v>0</v>
      </c>
      <c r="M26">
        <v>70</v>
      </c>
      <c r="N26">
        <v>-1</v>
      </c>
      <c r="O26">
        <v>10000000</v>
      </c>
      <c r="P26" s="2">
        <v>200</v>
      </c>
      <c r="Q26">
        <v>6.7649999999999997</v>
      </c>
      <c r="R26">
        <v>4.5</v>
      </c>
      <c r="S26">
        <v>0.73</v>
      </c>
      <c r="T26">
        <v>0.61179755234275957</v>
      </c>
      <c r="U26" s="11">
        <f t="shared" si="0"/>
        <v>9460605.8838641476</v>
      </c>
      <c r="V26" s="7"/>
      <c r="W26" s="7">
        <f t="shared" si="1"/>
        <v>6.7890474730433336E-7</v>
      </c>
    </row>
    <row r="27" spans="1:23" x14ac:dyDescent="0.3">
      <c r="A27" t="s">
        <v>7</v>
      </c>
      <c r="B27" t="s">
        <v>8</v>
      </c>
      <c r="C27" s="2" t="s">
        <v>4</v>
      </c>
      <c r="D27">
        <v>25</v>
      </c>
      <c r="E27">
        <v>76</v>
      </c>
      <c r="F27">
        <v>2</v>
      </c>
      <c r="G27">
        <v>920</v>
      </c>
      <c r="H27">
        <v>2</v>
      </c>
      <c r="I27" t="s">
        <v>5</v>
      </c>
      <c r="J27">
        <v>670</v>
      </c>
      <c r="K27">
        <v>4</v>
      </c>
      <c r="L27">
        <v>0</v>
      </c>
      <c r="M27">
        <v>70</v>
      </c>
      <c r="N27">
        <v>-1</v>
      </c>
      <c r="O27">
        <v>10000000</v>
      </c>
      <c r="P27" s="2">
        <v>350</v>
      </c>
      <c r="Q27">
        <v>6.7649999999999997</v>
      </c>
      <c r="R27">
        <v>4.5</v>
      </c>
      <c r="S27">
        <v>0.73</v>
      </c>
      <c r="T27">
        <v>0.5859424772788725</v>
      </c>
      <c r="U27" s="11">
        <f t="shared" si="0"/>
        <v>9436804.7840932682</v>
      </c>
      <c r="V27" s="7"/>
      <c r="W27" s="7">
        <f t="shared" si="1"/>
        <v>6.9155878264107028E-7</v>
      </c>
    </row>
    <row r="28" spans="1:23" x14ac:dyDescent="0.3">
      <c r="A28" t="s">
        <v>7</v>
      </c>
      <c r="B28" t="s">
        <v>8</v>
      </c>
      <c r="C28" s="2" t="s">
        <v>9</v>
      </c>
      <c r="D28">
        <v>900</v>
      </c>
      <c r="E28">
        <v>200</v>
      </c>
      <c r="F28">
        <v>1</v>
      </c>
      <c r="G28">
        <v>25</v>
      </c>
      <c r="H28">
        <v>2</v>
      </c>
      <c r="I28" t="s">
        <v>21</v>
      </c>
      <c r="J28">
        <v>670</v>
      </c>
      <c r="K28">
        <v>4</v>
      </c>
      <c r="L28">
        <v>0</v>
      </c>
      <c r="M28">
        <v>70</v>
      </c>
      <c r="N28">
        <v>0.1</v>
      </c>
      <c r="O28">
        <v>10000000</v>
      </c>
      <c r="P28" s="2">
        <v>100</v>
      </c>
      <c r="Q28">
        <v>6.7649999999999997</v>
      </c>
      <c r="R28">
        <v>4.5</v>
      </c>
      <c r="S28">
        <v>0.73</v>
      </c>
      <c r="T28">
        <v>0.5859424772788725</v>
      </c>
      <c r="U28" s="11">
        <f t="shared" si="0"/>
        <v>9436804.7840932682</v>
      </c>
      <c r="V28" s="7"/>
      <c r="W28" s="7">
        <f t="shared" si="1"/>
        <v>6.6355183676397996E-7</v>
      </c>
    </row>
    <row r="29" spans="1:23" x14ac:dyDescent="0.3">
      <c r="A29" t="s">
        <v>7</v>
      </c>
      <c r="B29" t="s">
        <v>8</v>
      </c>
      <c r="C29" s="2" t="s">
        <v>9</v>
      </c>
      <c r="D29">
        <v>900</v>
      </c>
      <c r="E29">
        <v>200</v>
      </c>
      <c r="F29">
        <v>1</v>
      </c>
      <c r="G29">
        <v>25</v>
      </c>
      <c r="H29">
        <v>2</v>
      </c>
      <c r="I29" t="s">
        <v>21</v>
      </c>
      <c r="J29">
        <v>670</v>
      </c>
      <c r="K29">
        <v>4</v>
      </c>
      <c r="L29">
        <v>0</v>
      </c>
      <c r="M29">
        <v>70</v>
      </c>
      <c r="N29">
        <v>0.1</v>
      </c>
      <c r="O29">
        <v>10000000</v>
      </c>
      <c r="P29" s="2">
        <v>60</v>
      </c>
      <c r="Q29">
        <v>6.7649999999999997</v>
      </c>
      <c r="R29">
        <v>4.5</v>
      </c>
      <c r="S29">
        <v>0.73</v>
      </c>
      <c r="T29">
        <v>0.5859424772788725</v>
      </c>
      <c r="U29" s="11">
        <f t="shared" si="0"/>
        <v>9436804.7840932682</v>
      </c>
      <c r="V29" s="7"/>
      <c r="W29" s="7">
        <f t="shared" si="1"/>
        <v>6.5245993263099976E-7</v>
      </c>
    </row>
    <row r="30" spans="1:23" x14ac:dyDescent="0.3">
      <c r="A30" t="s">
        <v>7</v>
      </c>
      <c r="B30" t="s">
        <v>16</v>
      </c>
      <c r="C30" s="2" t="s">
        <v>9</v>
      </c>
      <c r="D30">
        <v>25</v>
      </c>
      <c r="E30">
        <v>76</v>
      </c>
      <c r="F30">
        <v>1</v>
      </c>
      <c r="G30">
        <v>650</v>
      </c>
      <c r="H30">
        <v>2</v>
      </c>
      <c r="I30" t="s">
        <v>21</v>
      </c>
      <c r="J30">
        <v>25</v>
      </c>
      <c r="K30">
        <v>1</v>
      </c>
      <c r="L30">
        <v>0</v>
      </c>
      <c r="M30">
        <v>70</v>
      </c>
      <c r="N30">
        <v>0.1</v>
      </c>
      <c r="O30">
        <v>10000000</v>
      </c>
      <c r="P30" s="2">
        <v>250</v>
      </c>
      <c r="Q30">
        <v>6.7649999999999997</v>
      </c>
      <c r="R30">
        <v>4.5</v>
      </c>
      <c r="S30">
        <v>0.73</v>
      </c>
      <c r="T30">
        <v>0.61625969192544583</v>
      </c>
      <c r="U30" s="11">
        <f t="shared" si="0"/>
        <v>9464511.4643650539</v>
      </c>
      <c r="V30" s="7"/>
      <c r="W30" s="7">
        <f t="shared" si="1"/>
        <v>6.8392247538457671E-7</v>
      </c>
    </row>
    <row r="31" spans="1:23" x14ac:dyDescent="0.3">
      <c r="A31" t="s">
        <v>7</v>
      </c>
      <c r="B31" t="s">
        <v>16</v>
      </c>
      <c r="C31" s="2" t="s">
        <v>13</v>
      </c>
      <c r="D31">
        <v>900</v>
      </c>
      <c r="E31">
        <v>102</v>
      </c>
      <c r="F31">
        <v>2</v>
      </c>
      <c r="G31">
        <v>650</v>
      </c>
      <c r="H31">
        <v>2</v>
      </c>
      <c r="I31" t="s">
        <v>21</v>
      </c>
      <c r="J31">
        <v>25</v>
      </c>
      <c r="K31">
        <v>1</v>
      </c>
      <c r="L31">
        <v>0</v>
      </c>
      <c r="M31">
        <v>70</v>
      </c>
      <c r="N31">
        <v>0.1</v>
      </c>
      <c r="O31">
        <v>10000000</v>
      </c>
      <c r="P31" s="2">
        <v>540</v>
      </c>
      <c r="Q31">
        <v>6.7649999999999997</v>
      </c>
      <c r="R31">
        <v>4.5</v>
      </c>
      <c r="S31">
        <v>0.73</v>
      </c>
      <c r="T31">
        <v>0.62436094263907993</v>
      </c>
      <c r="U31" s="11">
        <f t="shared" si="0"/>
        <v>9471459.5717580616</v>
      </c>
      <c r="V31" s="7"/>
      <c r="W31" s="7">
        <f t="shared" si="1"/>
        <v>7.0152612637489846E-7</v>
      </c>
    </row>
    <row r="32" spans="1:23" x14ac:dyDescent="0.3">
      <c r="A32" t="s">
        <v>7</v>
      </c>
      <c r="B32" t="s">
        <v>19</v>
      </c>
      <c r="C32" s="2" t="s">
        <v>9</v>
      </c>
      <c r="D32">
        <v>25</v>
      </c>
      <c r="E32">
        <v>76</v>
      </c>
      <c r="F32">
        <v>1</v>
      </c>
      <c r="G32">
        <v>650</v>
      </c>
      <c r="H32">
        <v>3</v>
      </c>
      <c r="I32" t="s">
        <v>21</v>
      </c>
      <c r="J32">
        <v>25</v>
      </c>
      <c r="K32">
        <v>1</v>
      </c>
      <c r="L32">
        <v>0</v>
      </c>
      <c r="M32">
        <v>70</v>
      </c>
      <c r="N32">
        <v>-1</v>
      </c>
      <c r="O32">
        <v>100000</v>
      </c>
      <c r="P32" s="2">
        <v>60</v>
      </c>
      <c r="Q32">
        <v>6.7649999999999997</v>
      </c>
      <c r="R32">
        <v>4.5</v>
      </c>
      <c r="S32">
        <v>0.73</v>
      </c>
      <c r="T32">
        <v>0.61625969192544583</v>
      </c>
      <c r="U32" s="11">
        <f t="shared" si="0"/>
        <v>94645.114643650537</v>
      </c>
      <c r="V32" s="7"/>
      <c r="W32" s="7">
        <f t="shared" si="1"/>
        <v>6.5245993263099976E-7</v>
      </c>
    </row>
    <row r="33" spans="1:23" x14ac:dyDescent="0.3">
      <c r="A33" t="s">
        <v>7</v>
      </c>
      <c r="B33" t="s">
        <v>19</v>
      </c>
      <c r="C33" s="2" t="s">
        <v>13</v>
      </c>
      <c r="D33">
        <v>900</v>
      </c>
      <c r="E33">
        <v>102</v>
      </c>
      <c r="F33">
        <v>2</v>
      </c>
      <c r="G33">
        <v>25</v>
      </c>
      <c r="H33">
        <v>1</v>
      </c>
      <c r="I33" t="s">
        <v>21</v>
      </c>
      <c r="J33">
        <v>25</v>
      </c>
      <c r="K33">
        <v>1</v>
      </c>
      <c r="L33">
        <v>1</v>
      </c>
      <c r="M33">
        <v>70</v>
      </c>
      <c r="N33">
        <v>-1</v>
      </c>
      <c r="O33">
        <v>10000000</v>
      </c>
      <c r="P33" s="2">
        <v>405</v>
      </c>
      <c r="Q33">
        <v>6.7649999999999997</v>
      </c>
      <c r="R33">
        <v>4.5</v>
      </c>
      <c r="S33">
        <v>0.73</v>
      </c>
      <c r="T33">
        <v>0.61625969192544583</v>
      </c>
      <c r="U33" s="11">
        <f t="shared" si="0"/>
        <v>9464511.4643650539</v>
      </c>
      <c r="V33" s="7"/>
      <c r="W33" s="7">
        <f t="shared" si="1"/>
        <v>6.9489769552281564E-7</v>
      </c>
    </row>
    <row r="34" spans="1:23" x14ac:dyDescent="0.3">
      <c r="A34" t="s">
        <v>7</v>
      </c>
      <c r="B34" t="s">
        <v>19</v>
      </c>
      <c r="C34" s="2" t="s">
        <v>9</v>
      </c>
      <c r="D34">
        <v>25</v>
      </c>
      <c r="E34">
        <v>76</v>
      </c>
      <c r="F34">
        <v>1</v>
      </c>
      <c r="G34">
        <v>650</v>
      </c>
      <c r="H34">
        <v>2</v>
      </c>
      <c r="I34" t="s">
        <v>21</v>
      </c>
      <c r="J34">
        <v>25</v>
      </c>
      <c r="K34">
        <v>1</v>
      </c>
      <c r="L34">
        <v>1</v>
      </c>
      <c r="M34">
        <v>70</v>
      </c>
      <c r="N34">
        <v>-1</v>
      </c>
      <c r="O34">
        <v>20000</v>
      </c>
      <c r="P34" s="2">
        <v>60</v>
      </c>
      <c r="Q34">
        <v>6.7649999999999997</v>
      </c>
      <c r="R34">
        <v>4.5</v>
      </c>
      <c r="S34">
        <v>0.73</v>
      </c>
      <c r="T34">
        <v>0.61179755234275957</v>
      </c>
      <c r="U34" s="11">
        <f t="shared" si="0"/>
        <v>18921.211767728295</v>
      </c>
      <c r="V34" s="7"/>
      <c r="W34" s="7">
        <f t="shared" si="1"/>
        <v>6.5245993263099976E-7</v>
      </c>
    </row>
    <row r="35" spans="1:23" x14ac:dyDescent="0.3">
      <c r="A35" t="s">
        <v>7</v>
      </c>
      <c r="B35" t="s">
        <v>19</v>
      </c>
      <c r="C35" s="2" t="s">
        <v>13</v>
      </c>
      <c r="D35">
        <v>900</v>
      </c>
      <c r="E35">
        <v>102</v>
      </c>
      <c r="F35">
        <v>2</v>
      </c>
      <c r="G35">
        <v>650</v>
      </c>
      <c r="H35">
        <v>2</v>
      </c>
      <c r="I35" t="s">
        <v>21</v>
      </c>
      <c r="J35">
        <v>25</v>
      </c>
      <c r="K35">
        <v>1</v>
      </c>
      <c r="L35">
        <v>1</v>
      </c>
      <c r="M35">
        <v>70</v>
      </c>
      <c r="N35">
        <v>-1</v>
      </c>
      <c r="O35">
        <v>10000000</v>
      </c>
      <c r="P35" s="2">
        <v>400</v>
      </c>
      <c r="Q35">
        <v>6.7649999999999997</v>
      </c>
      <c r="R35">
        <v>4.5</v>
      </c>
      <c r="S35">
        <v>0.73</v>
      </c>
      <c r="T35">
        <v>0.73184042486891066</v>
      </c>
      <c r="U35" s="11">
        <f t="shared" si="0"/>
        <v>9549082.0282862745</v>
      </c>
      <c r="V35" s="7"/>
      <c r="W35" s="7">
        <f t="shared" si="1"/>
        <v>6.9461288534764957E-7</v>
      </c>
    </row>
    <row r="36" spans="1:23" x14ac:dyDescent="0.3">
      <c r="A36" t="s">
        <v>7</v>
      </c>
      <c r="B36" t="s">
        <v>8</v>
      </c>
      <c r="C36" s="2" t="s">
        <v>9</v>
      </c>
      <c r="D36">
        <v>25</v>
      </c>
      <c r="E36">
        <v>76</v>
      </c>
      <c r="F36">
        <v>1</v>
      </c>
      <c r="G36">
        <v>650</v>
      </c>
      <c r="H36">
        <v>3</v>
      </c>
      <c r="I36" t="s">
        <v>21</v>
      </c>
      <c r="J36">
        <v>25</v>
      </c>
      <c r="K36">
        <v>1</v>
      </c>
      <c r="L36">
        <v>0</v>
      </c>
      <c r="M36">
        <v>40</v>
      </c>
      <c r="N36">
        <v>0.1</v>
      </c>
      <c r="O36">
        <v>10000000</v>
      </c>
      <c r="P36" s="2">
        <v>340</v>
      </c>
      <c r="Q36">
        <v>6.7649999999999997</v>
      </c>
      <c r="R36">
        <v>4.5</v>
      </c>
      <c r="S36">
        <v>0.73</v>
      </c>
      <c r="T36">
        <v>0.7306392553915726</v>
      </c>
      <c r="U36" s="11">
        <f t="shared" si="0"/>
        <v>9548340.7200409137</v>
      </c>
      <c r="V36" s="7"/>
      <c r="W36" s="7">
        <f t="shared" si="1"/>
        <v>6.9089756162128487E-7</v>
      </c>
    </row>
    <row r="37" spans="1:23" x14ac:dyDescent="0.3">
      <c r="A37" t="s">
        <v>7</v>
      </c>
      <c r="B37" t="s">
        <v>8</v>
      </c>
      <c r="C37" s="2" t="s">
        <v>9</v>
      </c>
      <c r="D37">
        <v>25</v>
      </c>
      <c r="E37">
        <v>76</v>
      </c>
      <c r="F37">
        <v>1</v>
      </c>
      <c r="G37">
        <v>650</v>
      </c>
      <c r="H37">
        <v>3</v>
      </c>
      <c r="I37" t="s">
        <v>21</v>
      </c>
      <c r="J37">
        <v>25</v>
      </c>
      <c r="K37">
        <v>1</v>
      </c>
      <c r="L37">
        <v>0</v>
      </c>
      <c r="M37">
        <v>40</v>
      </c>
      <c r="N37">
        <v>0.1</v>
      </c>
      <c r="O37">
        <v>10000000</v>
      </c>
      <c r="P37" s="2">
        <v>453</v>
      </c>
      <c r="Q37">
        <v>6.7649999999999997</v>
      </c>
      <c r="R37">
        <v>4.5</v>
      </c>
      <c r="S37">
        <v>0.73</v>
      </c>
      <c r="T37">
        <v>0.61625969192544583</v>
      </c>
      <c r="U37" s="11">
        <f t="shared" si="0"/>
        <v>9464511.4643650539</v>
      </c>
      <c r="V37" s="7"/>
      <c r="W37" s="7">
        <f t="shared" si="1"/>
        <v>6.9747090598042519E-7</v>
      </c>
    </row>
    <row r="38" spans="1:23" x14ac:dyDescent="0.3">
      <c r="A38" t="s">
        <v>7</v>
      </c>
      <c r="B38" t="s">
        <v>10</v>
      </c>
      <c r="C38" s="2" t="s">
        <v>6</v>
      </c>
      <c r="D38">
        <v>25</v>
      </c>
      <c r="E38">
        <v>76</v>
      </c>
      <c r="F38">
        <v>2</v>
      </c>
      <c r="G38">
        <v>25</v>
      </c>
      <c r="H38">
        <v>1</v>
      </c>
      <c r="I38" t="s">
        <v>21</v>
      </c>
      <c r="J38">
        <v>25</v>
      </c>
      <c r="K38">
        <v>1</v>
      </c>
      <c r="L38">
        <v>0</v>
      </c>
      <c r="M38">
        <v>126</v>
      </c>
      <c r="N38">
        <v>0.1</v>
      </c>
      <c r="O38">
        <v>1000000</v>
      </c>
      <c r="P38" s="2">
        <v>500</v>
      </c>
      <c r="Q38">
        <v>6.7649999999999997</v>
      </c>
      <c r="R38">
        <v>4.5</v>
      </c>
      <c r="S38">
        <v>0.73</v>
      </c>
      <c r="T38">
        <v>0.61625969192544583</v>
      </c>
      <c r="U38" s="11">
        <f t="shared" si="0"/>
        <v>946451.14643650537</v>
      </c>
      <c r="V38" s="7"/>
      <c r="W38" s="7">
        <f t="shared" si="1"/>
        <v>6.9974671095948523E-7</v>
      </c>
    </row>
    <row r="39" spans="1:23" x14ac:dyDescent="0.3">
      <c r="A39" t="s">
        <v>7</v>
      </c>
      <c r="B39" t="s">
        <v>11</v>
      </c>
      <c r="C39" s="2" t="s">
        <v>9</v>
      </c>
      <c r="D39">
        <v>25</v>
      </c>
      <c r="E39">
        <v>76</v>
      </c>
      <c r="F39">
        <v>1</v>
      </c>
      <c r="G39">
        <v>600</v>
      </c>
      <c r="H39">
        <v>1</v>
      </c>
      <c r="I39" t="s">
        <v>21</v>
      </c>
      <c r="J39">
        <v>25</v>
      </c>
      <c r="K39">
        <v>1</v>
      </c>
      <c r="L39">
        <v>0</v>
      </c>
      <c r="M39">
        <v>290</v>
      </c>
      <c r="N39">
        <v>0.01</v>
      </c>
      <c r="O39">
        <v>1000000</v>
      </c>
      <c r="P39" s="2">
        <v>482</v>
      </c>
      <c r="Q39">
        <v>6.7649999999999997</v>
      </c>
      <c r="R39">
        <v>4.5</v>
      </c>
      <c r="S39">
        <v>0.73</v>
      </c>
      <c r="T39">
        <v>0.61625969192544583</v>
      </c>
      <c r="U39" s="11">
        <f t="shared" si="0"/>
        <v>946451.14643650537</v>
      </c>
      <c r="V39" s="7"/>
      <c r="W39" s="7">
        <f t="shared" si="1"/>
        <v>6.989005913459576E-7</v>
      </c>
    </row>
    <row r="40" spans="1:23" x14ac:dyDescent="0.3">
      <c r="A40" t="s">
        <v>7</v>
      </c>
      <c r="B40" t="s">
        <v>12</v>
      </c>
      <c r="C40" s="2" t="s">
        <v>13</v>
      </c>
      <c r="D40">
        <v>920</v>
      </c>
      <c r="E40">
        <v>103</v>
      </c>
      <c r="F40">
        <v>2</v>
      </c>
      <c r="G40">
        <v>650</v>
      </c>
      <c r="H40">
        <v>2</v>
      </c>
      <c r="I40" t="s">
        <v>21</v>
      </c>
      <c r="J40">
        <v>25</v>
      </c>
      <c r="K40">
        <v>1</v>
      </c>
      <c r="L40">
        <v>0</v>
      </c>
      <c r="M40">
        <v>290</v>
      </c>
      <c r="N40">
        <v>0.1</v>
      </c>
      <c r="O40">
        <v>5000000</v>
      </c>
      <c r="P40" s="2">
        <v>155</v>
      </c>
      <c r="Q40">
        <v>6.7649999999999997</v>
      </c>
      <c r="R40">
        <v>4.5</v>
      </c>
      <c r="S40">
        <v>0.73</v>
      </c>
      <c r="T40">
        <v>0.61625969192544583</v>
      </c>
      <c r="U40" s="11">
        <f t="shared" si="0"/>
        <v>4732255.732182527</v>
      </c>
      <c r="V40" s="7"/>
      <c r="W40" s="7">
        <f t="shared" si="1"/>
        <v>6.7321812774973763E-7</v>
      </c>
    </row>
    <row r="41" spans="1:23" x14ac:dyDescent="0.3">
      <c r="A41" t="s">
        <v>7</v>
      </c>
      <c r="B41" t="s">
        <v>14</v>
      </c>
      <c r="C41" s="2" t="s">
        <v>9</v>
      </c>
      <c r="D41">
        <v>25</v>
      </c>
      <c r="E41">
        <v>76</v>
      </c>
      <c r="F41">
        <v>1</v>
      </c>
      <c r="G41">
        <v>730</v>
      </c>
      <c r="H41">
        <v>2</v>
      </c>
      <c r="I41" t="s">
        <v>21</v>
      </c>
      <c r="J41">
        <v>25</v>
      </c>
      <c r="K41">
        <v>1</v>
      </c>
      <c r="L41">
        <v>0</v>
      </c>
      <c r="M41">
        <v>290</v>
      </c>
      <c r="N41">
        <v>0.1</v>
      </c>
      <c r="O41">
        <v>5000000</v>
      </c>
      <c r="P41" s="2">
        <v>265</v>
      </c>
      <c r="Q41">
        <v>6.7649999999999997</v>
      </c>
      <c r="R41">
        <v>4.5</v>
      </c>
      <c r="S41">
        <v>0.73</v>
      </c>
      <c r="T41">
        <v>0.62436094263907993</v>
      </c>
      <c r="U41" s="11">
        <f t="shared" si="0"/>
        <v>4735729.7858790308</v>
      </c>
      <c r="V41" s="7"/>
      <c r="W41" s="7">
        <f t="shared" si="1"/>
        <v>6.8523883730212022E-7</v>
      </c>
    </row>
    <row r="42" spans="1:23" x14ac:dyDescent="0.3">
      <c r="A42" t="s">
        <v>7</v>
      </c>
      <c r="B42" t="s">
        <v>8</v>
      </c>
      <c r="C42" s="2" t="s">
        <v>9</v>
      </c>
      <c r="D42">
        <v>25</v>
      </c>
      <c r="E42">
        <v>76</v>
      </c>
      <c r="F42">
        <v>2</v>
      </c>
      <c r="G42">
        <v>500</v>
      </c>
      <c r="H42">
        <v>2</v>
      </c>
      <c r="I42" t="s">
        <v>21</v>
      </c>
      <c r="J42">
        <v>25</v>
      </c>
      <c r="K42">
        <v>1</v>
      </c>
      <c r="L42">
        <v>0</v>
      </c>
      <c r="M42">
        <v>290</v>
      </c>
      <c r="N42">
        <v>0.1</v>
      </c>
      <c r="O42">
        <v>10000000</v>
      </c>
      <c r="P42" s="2">
        <v>430</v>
      </c>
      <c r="Q42">
        <v>6.7649999999999997</v>
      </c>
      <c r="R42">
        <v>4.5</v>
      </c>
      <c r="S42">
        <v>0.73</v>
      </c>
      <c r="T42">
        <v>0.61625969192544583</v>
      </c>
      <c r="U42" s="11">
        <f t="shared" si="0"/>
        <v>9464511.4643650539</v>
      </c>
      <c r="V42" s="7"/>
      <c r="W42" s="7">
        <f t="shared" si="1"/>
        <v>6.9627261559342036E-7</v>
      </c>
    </row>
    <row r="43" spans="1:23" x14ac:dyDescent="0.3">
      <c r="A43" t="s">
        <v>7</v>
      </c>
      <c r="B43" t="s">
        <v>8</v>
      </c>
      <c r="C43" s="2" t="s">
        <v>13</v>
      </c>
      <c r="D43">
        <v>900</v>
      </c>
      <c r="E43">
        <v>120</v>
      </c>
      <c r="F43">
        <v>2</v>
      </c>
      <c r="G43">
        <v>25</v>
      </c>
      <c r="H43">
        <v>1</v>
      </c>
      <c r="I43" t="s">
        <v>21</v>
      </c>
      <c r="J43">
        <v>25</v>
      </c>
      <c r="K43">
        <v>1</v>
      </c>
      <c r="L43">
        <v>0</v>
      </c>
      <c r="M43">
        <v>290</v>
      </c>
      <c r="N43">
        <v>-1</v>
      </c>
      <c r="O43">
        <v>10000000</v>
      </c>
      <c r="P43" s="2">
        <v>370</v>
      </c>
      <c r="Q43">
        <v>6.7649999999999997</v>
      </c>
      <c r="R43">
        <v>4.5</v>
      </c>
      <c r="S43">
        <v>0.73</v>
      </c>
      <c r="T43">
        <v>0.61625969192544583</v>
      </c>
      <c r="U43" s="11">
        <f t="shared" si="0"/>
        <v>9464511.4643650539</v>
      </c>
      <c r="V43" s="7"/>
      <c r="W43" s="7">
        <f t="shared" si="1"/>
        <v>6.9282813016766237E-7</v>
      </c>
    </row>
    <row r="44" spans="1:23" x14ac:dyDescent="0.3">
      <c r="A44" t="s">
        <v>7</v>
      </c>
      <c r="B44" t="s">
        <v>8</v>
      </c>
      <c r="C44" s="2" t="s">
        <v>13</v>
      </c>
      <c r="D44">
        <v>900</v>
      </c>
      <c r="E44">
        <v>120</v>
      </c>
      <c r="F44">
        <v>2</v>
      </c>
      <c r="G44">
        <v>25</v>
      </c>
      <c r="H44">
        <v>1</v>
      </c>
      <c r="I44" t="s">
        <v>21</v>
      </c>
      <c r="J44">
        <v>25</v>
      </c>
      <c r="K44">
        <v>1</v>
      </c>
      <c r="L44">
        <v>0</v>
      </c>
      <c r="M44">
        <v>290</v>
      </c>
      <c r="N44">
        <v>-1</v>
      </c>
      <c r="O44">
        <v>10000000</v>
      </c>
      <c r="P44" s="2">
        <v>580</v>
      </c>
      <c r="Q44">
        <v>6.7649999999999997</v>
      </c>
      <c r="R44">
        <v>4.5</v>
      </c>
      <c r="S44">
        <v>0.73</v>
      </c>
      <c r="T44">
        <v>0.61179755234275957</v>
      </c>
      <c r="U44" s="11">
        <f t="shared" si="0"/>
        <v>9460605.8838641476</v>
      </c>
      <c r="V44" s="7"/>
      <c r="W44" s="7">
        <f t="shared" si="1"/>
        <v>7.0318237934689411E-7</v>
      </c>
    </row>
    <row r="45" spans="1:23" x14ac:dyDescent="0.3">
      <c r="A45" t="s">
        <v>7</v>
      </c>
      <c r="B45" t="s">
        <v>8</v>
      </c>
      <c r="C45" s="2" t="s">
        <v>15</v>
      </c>
      <c r="D45">
        <v>25</v>
      </c>
      <c r="E45">
        <v>76</v>
      </c>
      <c r="F45">
        <v>1</v>
      </c>
      <c r="G45">
        <v>650</v>
      </c>
      <c r="H45">
        <v>3</v>
      </c>
      <c r="I45" t="s">
        <v>21</v>
      </c>
      <c r="J45">
        <v>25</v>
      </c>
      <c r="K45">
        <v>1</v>
      </c>
      <c r="L45">
        <v>1</v>
      </c>
      <c r="M45">
        <v>290</v>
      </c>
      <c r="N45">
        <v>0.2</v>
      </c>
      <c r="O45">
        <v>200000</v>
      </c>
      <c r="P45" s="2">
        <v>100</v>
      </c>
      <c r="Q45">
        <v>6.7649999999999997</v>
      </c>
      <c r="R45">
        <v>4.5</v>
      </c>
      <c r="S45">
        <v>0.73</v>
      </c>
      <c r="T45">
        <v>0.61625969192544583</v>
      </c>
      <c r="U45" s="11">
        <f t="shared" si="0"/>
        <v>189290.22928730107</v>
      </c>
      <c r="V45" s="7"/>
      <c r="W45" s="7">
        <f t="shared" si="1"/>
        <v>6.6355183676397996E-7</v>
      </c>
    </row>
    <row r="46" spans="1:23" x14ac:dyDescent="0.3">
      <c r="A46" t="s">
        <v>7</v>
      </c>
      <c r="B46" t="s">
        <v>14</v>
      </c>
      <c r="C46" s="2" t="s">
        <v>9</v>
      </c>
      <c r="D46">
        <v>25</v>
      </c>
      <c r="E46">
        <v>76</v>
      </c>
      <c r="F46">
        <v>1</v>
      </c>
      <c r="G46">
        <v>700</v>
      </c>
      <c r="H46">
        <v>1</v>
      </c>
      <c r="I46" t="s">
        <v>21</v>
      </c>
      <c r="J46">
        <v>25</v>
      </c>
      <c r="K46">
        <v>1</v>
      </c>
      <c r="L46">
        <v>0</v>
      </c>
      <c r="M46">
        <v>290</v>
      </c>
      <c r="N46">
        <v>-1</v>
      </c>
      <c r="O46">
        <v>10000000</v>
      </c>
      <c r="P46" s="2">
        <v>88</v>
      </c>
      <c r="Q46">
        <v>6.7649999999999997</v>
      </c>
      <c r="R46">
        <v>4.5</v>
      </c>
      <c r="S46">
        <v>0.73</v>
      </c>
      <c r="T46">
        <v>0.61625969192544583</v>
      </c>
      <c r="U46" s="11">
        <f t="shared" si="0"/>
        <v>9464511.4643650539</v>
      </c>
      <c r="V46" s="7"/>
      <c r="W46" s="7">
        <f t="shared" si="1"/>
        <v>6.6075853841333952E-7</v>
      </c>
    </row>
    <row r="47" spans="1:23" x14ac:dyDescent="0.3">
      <c r="A47" t="s">
        <v>7</v>
      </c>
      <c r="B47" t="s">
        <v>8</v>
      </c>
      <c r="C47" s="2" t="s">
        <v>9</v>
      </c>
      <c r="D47">
        <v>25</v>
      </c>
      <c r="E47">
        <v>76</v>
      </c>
      <c r="F47">
        <v>1</v>
      </c>
      <c r="G47">
        <v>710</v>
      </c>
      <c r="H47">
        <v>2</v>
      </c>
      <c r="I47" t="s">
        <v>21</v>
      </c>
      <c r="J47">
        <v>25</v>
      </c>
      <c r="K47">
        <v>1</v>
      </c>
      <c r="L47">
        <v>0</v>
      </c>
      <c r="M47">
        <v>38</v>
      </c>
      <c r="N47">
        <v>0.1</v>
      </c>
      <c r="O47">
        <v>10000000</v>
      </c>
      <c r="P47" s="2">
        <v>430</v>
      </c>
      <c r="Q47">
        <v>6.7649999999999997</v>
      </c>
      <c r="R47">
        <v>4.5</v>
      </c>
      <c r="S47">
        <v>0.73</v>
      </c>
      <c r="T47">
        <v>0.61625969192544583</v>
      </c>
      <c r="U47" s="11">
        <f t="shared" si="0"/>
        <v>9464511.4643650539</v>
      </c>
      <c r="V47" s="7"/>
      <c r="W47" s="7">
        <f t="shared" si="1"/>
        <v>6.9627261559342036E-7</v>
      </c>
    </row>
    <row r="48" spans="1:23" x14ac:dyDescent="0.3">
      <c r="A48" t="s">
        <v>7</v>
      </c>
      <c r="B48" t="s">
        <v>8</v>
      </c>
      <c r="C48" s="2" t="s">
        <v>6</v>
      </c>
      <c r="D48">
        <v>25</v>
      </c>
      <c r="E48">
        <v>76</v>
      </c>
      <c r="F48">
        <v>2</v>
      </c>
      <c r="G48">
        <v>25</v>
      </c>
      <c r="H48">
        <v>1</v>
      </c>
      <c r="I48" t="s">
        <v>21</v>
      </c>
      <c r="J48">
        <v>25</v>
      </c>
      <c r="K48">
        <v>1</v>
      </c>
      <c r="L48">
        <v>0</v>
      </c>
      <c r="M48">
        <v>26</v>
      </c>
      <c r="N48">
        <v>0.1</v>
      </c>
      <c r="O48">
        <v>3000000</v>
      </c>
      <c r="P48" s="2">
        <v>400</v>
      </c>
      <c r="Q48">
        <v>6.7649999999999997</v>
      </c>
      <c r="R48">
        <v>4.5</v>
      </c>
      <c r="S48">
        <v>0.73</v>
      </c>
      <c r="T48">
        <v>0.61625969192544583</v>
      </c>
      <c r="U48" s="11">
        <f t="shared" si="0"/>
        <v>2839353.4393095165</v>
      </c>
      <c r="V48" s="7"/>
      <c r="W48" s="7">
        <f t="shared" si="1"/>
        <v>6.9461288534764957E-7</v>
      </c>
    </row>
    <row r="49" spans="1:23" x14ac:dyDescent="0.3">
      <c r="A49" t="s">
        <v>7</v>
      </c>
      <c r="B49" t="s">
        <v>8</v>
      </c>
      <c r="C49" s="2" t="s">
        <v>6</v>
      </c>
      <c r="D49">
        <v>25</v>
      </c>
      <c r="E49">
        <v>76</v>
      </c>
      <c r="F49">
        <v>2</v>
      </c>
      <c r="G49">
        <v>25</v>
      </c>
      <c r="H49">
        <v>1</v>
      </c>
      <c r="I49" t="s">
        <v>21</v>
      </c>
      <c r="J49">
        <v>25</v>
      </c>
      <c r="K49">
        <v>1</v>
      </c>
      <c r="L49">
        <v>0</v>
      </c>
      <c r="M49">
        <v>26</v>
      </c>
      <c r="N49">
        <v>0.1</v>
      </c>
      <c r="O49">
        <v>5000000</v>
      </c>
      <c r="P49" s="2">
        <v>500</v>
      </c>
      <c r="Q49">
        <v>6.7649999999999997</v>
      </c>
      <c r="R49">
        <v>4.5</v>
      </c>
      <c r="S49">
        <v>0.73</v>
      </c>
      <c r="T49">
        <v>0.61625969192544583</v>
      </c>
      <c r="U49" s="11">
        <f t="shared" si="0"/>
        <v>4732255.732182527</v>
      </c>
      <c r="V49" s="7"/>
      <c r="W49" s="7">
        <f t="shared" si="1"/>
        <v>6.9974671095948523E-7</v>
      </c>
    </row>
    <row r="50" spans="1:23" x14ac:dyDescent="0.3">
      <c r="A50" t="s">
        <v>7</v>
      </c>
      <c r="B50" t="s">
        <v>14</v>
      </c>
      <c r="C50" s="2" t="s">
        <v>9</v>
      </c>
      <c r="D50">
        <v>25</v>
      </c>
      <c r="E50">
        <v>76</v>
      </c>
      <c r="F50">
        <v>2</v>
      </c>
      <c r="G50">
        <v>700</v>
      </c>
      <c r="H50">
        <v>1</v>
      </c>
      <c r="I50" t="s">
        <v>21</v>
      </c>
      <c r="J50">
        <v>25</v>
      </c>
      <c r="K50">
        <v>1</v>
      </c>
      <c r="L50">
        <v>0</v>
      </c>
      <c r="M50">
        <v>32</v>
      </c>
      <c r="N50">
        <v>-1</v>
      </c>
      <c r="O50">
        <v>10000000</v>
      </c>
      <c r="P50" s="2">
        <v>88</v>
      </c>
      <c r="Q50">
        <v>6.7649999999999997</v>
      </c>
      <c r="R50">
        <v>4.5</v>
      </c>
      <c r="S50">
        <v>0.73</v>
      </c>
      <c r="T50">
        <v>0.61179755234275957</v>
      </c>
      <c r="U50" s="11">
        <f t="shared" si="0"/>
        <v>9460605.8838641476</v>
      </c>
      <c r="V50" s="7"/>
      <c r="W50" s="7">
        <f t="shared" si="1"/>
        <v>6.6075853841333952E-7</v>
      </c>
    </row>
    <row r="51" spans="1:23" x14ac:dyDescent="0.3">
      <c r="A51" t="s">
        <v>7</v>
      </c>
      <c r="B51" t="s">
        <v>8</v>
      </c>
      <c r="C51" s="2" t="s">
        <v>9</v>
      </c>
      <c r="D51">
        <v>25</v>
      </c>
      <c r="E51">
        <v>76</v>
      </c>
      <c r="F51">
        <v>2</v>
      </c>
      <c r="G51">
        <v>800</v>
      </c>
      <c r="H51">
        <v>2</v>
      </c>
      <c r="I51" t="s">
        <v>21</v>
      </c>
      <c r="J51">
        <v>25</v>
      </c>
      <c r="K51">
        <v>1</v>
      </c>
      <c r="L51">
        <v>0</v>
      </c>
      <c r="M51">
        <v>32</v>
      </c>
      <c r="N51">
        <v>-1</v>
      </c>
      <c r="O51">
        <v>10000000</v>
      </c>
      <c r="P51" s="2">
        <v>250</v>
      </c>
      <c r="Q51">
        <v>6.7649999999999997</v>
      </c>
      <c r="R51">
        <v>4.5</v>
      </c>
      <c r="S51">
        <v>0.73</v>
      </c>
      <c r="T51">
        <v>0.61625969192544583</v>
      </c>
      <c r="U51" s="11">
        <f t="shared" si="0"/>
        <v>9464511.4643650539</v>
      </c>
      <c r="V51" s="7"/>
      <c r="W51" s="7">
        <f t="shared" si="1"/>
        <v>6.8392247538457671E-7</v>
      </c>
    </row>
    <row r="52" spans="1:23" x14ac:dyDescent="0.3">
      <c r="A52" t="s">
        <v>7</v>
      </c>
      <c r="B52" t="s">
        <v>8</v>
      </c>
      <c r="C52" s="2" t="s">
        <v>13</v>
      </c>
      <c r="D52">
        <v>920</v>
      </c>
      <c r="E52">
        <v>100</v>
      </c>
      <c r="F52">
        <v>2</v>
      </c>
      <c r="G52">
        <v>25</v>
      </c>
      <c r="H52">
        <v>1</v>
      </c>
      <c r="I52" t="s">
        <v>21</v>
      </c>
      <c r="J52">
        <v>25</v>
      </c>
      <c r="K52">
        <v>1</v>
      </c>
      <c r="L52">
        <v>0</v>
      </c>
      <c r="M52">
        <v>32</v>
      </c>
      <c r="N52">
        <v>-1</v>
      </c>
      <c r="O52">
        <v>10000000</v>
      </c>
      <c r="P52" s="2">
        <v>420</v>
      </c>
      <c r="Q52">
        <v>6.7649999999999997</v>
      </c>
      <c r="R52">
        <v>4.5</v>
      </c>
      <c r="S52">
        <v>0.73</v>
      </c>
      <c r="T52">
        <v>0.61625969192544583</v>
      </c>
      <c r="U52" s="11">
        <f t="shared" si="0"/>
        <v>9464511.4643650539</v>
      </c>
      <c r="V52" s="7"/>
      <c r="W52" s="7">
        <f t="shared" si="1"/>
        <v>6.957321652998617E-7</v>
      </c>
    </row>
    <row r="53" spans="1:23" x14ac:dyDescent="0.3">
      <c r="A53" t="s">
        <v>7</v>
      </c>
      <c r="B53" t="s">
        <v>16</v>
      </c>
      <c r="C53" s="2" t="s">
        <v>6</v>
      </c>
      <c r="D53">
        <v>25</v>
      </c>
      <c r="E53">
        <v>76</v>
      </c>
      <c r="F53">
        <v>2</v>
      </c>
      <c r="G53">
        <v>25</v>
      </c>
      <c r="H53">
        <v>1</v>
      </c>
      <c r="I53" t="s">
        <v>21</v>
      </c>
      <c r="J53">
        <v>25</v>
      </c>
      <c r="K53">
        <v>1</v>
      </c>
      <c r="L53">
        <v>0</v>
      </c>
      <c r="M53">
        <v>32</v>
      </c>
      <c r="N53">
        <v>-1</v>
      </c>
      <c r="O53">
        <v>10000000</v>
      </c>
      <c r="P53" s="2">
        <v>410</v>
      </c>
      <c r="Q53">
        <v>6.7649999999999997</v>
      </c>
      <c r="R53">
        <v>4.5</v>
      </c>
      <c r="S53">
        <v>0.73</v>
      </c>
      <c r="T53">
        <v>0.61625969192544583</v>
      </c>
      <c r="U53" s="11">
        <f t="shared" si="0"/>
        <v>9464511.4643650539</v>
      </c>
      <c r="V53" s="7"/>
      <c r="W53" s="7">
        <f t="shared" si="1"/>
        <v>6.951791256455108E-7</v>
      </c>
    </row>
    <row r="54" spans="1:23" x14ac:dyDescent="0.3">
      <c r="A54" t="s">
        <v>7</v>
      </c>
      <c r="B54" t="s">
        <v>8</v>
      </c>
      <c r="C54" s="2" t="s">
        <v>17</v>
      </c>
      <c r="D54">
        <v>920</v>
      </c>
      <c r="E54">
        <v>100</v>
      </c>
      <c r="F54">
        <v>2</v>
      </c>
      <c r="G54">
        <v>800</v>
      </c>
      <c r="H54">
        <v>2</v>
      </c>
      <c r="I54" t="s">
        <v>21</v>
      </c>
      <c r="J54">
        <v>25</v>
      </c>
      <c r="K54">
        <v>1</v>
      </c>
      <c r="L54">
        <v>0</v>
      </c>
      <c r="M54">
        <v>32</v>
      </c>
      <c r="N54">
        <v>-1</v>
      </c>
      <c r="O54">
        <v>10000000</v>
      </c>
      <c r="P54" s="2">
        <v>200</v>
      </c>
      <c r="Q54">
        <v>6.7649999999999997</v>
      </c>
      <c r="R54">
        <v>4.5</v>
      </c>
      <c r="S54">
        <v>0.73</v>
      </c>
      <c r="T54">
        <v>0.61625969192544583</v>
      </c>
      <c r="U54" s="11">
        <f t="shared" si="0"/>
        <v>9464511.4643650539</v>
      </c>
      <c r="V54" s="7"/>
      <c r="W54" s="7">
        <f t="shared" si="1"/>
        <v>6.7890474730433336E-7</v>
      </c>
    </row>
    <row r="55" spans="1:23" x14ac:dyDescent="0.3">
      <c r="A55" t="s">
        <v>7</v>
      </c>
      <c r="B55" t="s">
        <v>8</v>
      </c>
      <c r="C55" s="2" t="s">
        <v>18</v>
      </c>
      <c r="D55">
        <v>920</v>
      </c>
      <c r="E55">
        <v>100</v>
      </c>
      <c r="F55">
        <v>2</v>
      </c>
      <c r="G55">
        <v>800</v>
      </c>
      <c r="H55">
        <v>2</v>
      </c>
      <c r="I55" t="s">
        <v>21</v>
      </c>
      <c r="J55">
        <v>25</v>
      </c>
      <c r="K55">
        <v>1</v>
      </c>
      <c r="L55">
        <v>0</v>
      </c>
      <c r="M55">
        <v>32</v>
      </c>
      <c r="N55">
        <v>-1</v>
      </c>
      <c r="O55">
        <v>10000000</v>
      </c>
      <c r="P55" s="2">
        <v>350</v>
      </c>
      <c r="Q55">
        <v>6.7649999999999997</v>
      </c>
      <c r="R55">
        <v>4.5</v>
      </c>
      <c r="S55">
        <v>0.73</v>
      </c>
      <c r="T55">
        <v>0.61625969192544583</v>
      </c>
      <c r="U55" s="11">
        <f t="shared" si="0"/>
        <v>9464511.4643650539</v>
      </c>
      <c r="V55" s="7"/>
      <c r="W55" s="7">
        <f t="shared" si="1"/>
        <v>6.9155878264107028E-7</v>
      </c>
    </row>
    <row r="56" spans="1:23" x14ac:dyDescent="0.3">
      <c r="A56" t="s">
        <v>7</v>
      </c>
      <c r="B56" t="s">
        <v>8</v>
      </c>
      <c r="C56" s="2" t="s">
        <v>6</v>
      </c>
      <c r="D56">
        <v>25</v>
      </c>
      <c r="E56">
        <v>76</v>
      </c>
      <c r="F56">
        <v>2</v>
      </c>
      <c r="G56">
        <v>25</v>
      </c>
      <c r="H56">
        <v>1</v>
      </c>
      <c r="I56" t="s">
        <v>21</v>
      </c>
      <c r="J56">
        <v>25</v>
      </c>
      <c r="K56">
        <v>1</v>
      </c>
      <c r="L56">
        <v>0</v>
      </c>
      <c r="M56">
        <v>32</v>
      </c>
      <c r="N56">
        <v>0.1</v>
      </c>
      <c r="O56">
        <v>10000000</v>
      </c>
      <c r="P56" s="2">
        <v>100</v>
      </c>
      <c r="Q56">
        <v>6.7649999999999997</v>
      </c>
      <c r="R56">
        <v>4.5</v>
      </c>
      <c r="S56">
        <v>0.73</v>
      </c>
      <c r="T56">
        <v>0.61625969192544583</v>
      </c>
      <c r="U56" s="11">
        <f t="shared" si="0"/>
        <v>9464511.4643650539</v>
      </c>
      <c r="V56" s="7"/>
      <c r="W56" s="7">
        <f t="shared" si="1"/>
        <v>6.6355183676397996E-7</v>
      </c>
    </row>
    <row r="57" spans="1:23" x14ac:dyDescent="0.3">
      <c r="A57" t="s">
        <v>7</v>
      </c>
      <c r="B57" t="s">
        <v>16</v>
      </c>
      <c r="C57" s="2" t="s">
        <v>6</v>
      </c>
      <c r="D57">
        <v>25</v>
      </c>
      <c r="E57">
        <v>76</v>
      </c>
      <c r="F57">
        <v>2</v>
      </c>
      <c r="G57">
        <v>25</v>
      </c>
      <c r="H57">
        <v>1</v>
      </c>
      <c r="I57" t="s">
        <v>21</v>
      </c>
      <c r="J57">
        <v>25</v>
      </c>
      <c r="K57">
        <v>1</v>
      </c>
      <c r="L57">
        <v>0</v>
      </c>
      <c r="M57">
        <v>32</v>
      </c>
      <c r="N57">
        <v>0.1</v>
      </c>
      <c r="O57">
        <v>10000000</v>
      </c>
      <c r="P57" s="2">
        <v>60</v>
      </c>
      <c r="Q57">
        <v>6.7649999999999997</v>
      </c>
      <c r="R57">
        <v>4.5</v>
      </c>
      <c r="S57">
        <v>0.73</v>
      </c>
      <c r="T57">
        <v>0.61179755234275957</v>
      </c>
      <c r="U57" s="11">
        <f t="shared" si="0"/>
        <v>9460605.8838641476</v>
      </c>
      <c r="V57" s="7"/>
      <c r="W57" s="7">
        <f t="shared" si="1"/>
        <v>6.5245993263099976E-7</v>
      </c>
    </row>
    <row r="58" spans="1:23" x14ac:dyDescent="0.3">
      <c r="A58" t="s">
        <v>7</v>
      </c>
      <c r="B58" t="s">
        <v>8</v>
      </c>
      <c r="C58" s="2" t="s">
        <v>4</v>
      </c>
      <c r="D58">
        <v>25</v>
      </c>
      <c r="E58">
        <v>76</v>
      </c>
      <c r="F58">
        <v>2</v>
      </c>
      <c r="G58">
        <v>920</v>
      </c>
      <c r="H58">
        <v>2</v>
      </c>
      <c r="I58" t="s">
        <v>5</v>
      </c>
      <c r="J58">
        <v>670</v>
      </c>
      <c r="K58">
        <v>4</v>
      </c>
      <c r="L58">
        <v>0</v>
      </c>
      <c r="M58">
        <v>32</v>
      </c>
      <c r="N58">
        <v>-1</v>
      </c>
      <c r="O58">
        <v>30000000</v>
      </c>
      <c r="P58" s="2">
        <v>221</v>
      </c>
      <c r="Q58">
        <v>6.7649999999999997</v>
      </c>
      <c r="R58">
        <v>4.5</v>
      </c>
      <c r="S58">
        <v>0.73</v>
      </c>
      <c r="T58">
        <v>0.58169985496347387</v>
      </c>
      <c r="U58" s="11">
        <f t="shared" si="0"/>
        <v>28298091.375556275</v>
      </c>
      <c r="V58" s="7"/>
      <c r="W58" s="7">
        <f t="shared" si="1"/>
        <v>6.8114535713845106E-7</v>
      </c>
    </row>
    <row r="59" spans="1:23" x14ac:dyDescent="0.3">
      <c r="A59" t="s">
        <v>7</v>
      </c>
      <c r="B59" t="s">
        <v>11</v>
      </c>
      <c r="C59" s="2" t="s">
        <v>9</v>
      </c>
      <c r="D59">
        <v>25</v>
      </c>
      <c r="E59">
        <v>76</v>
      </c>
      <c r="F59">
        <v>2</v>
      </c>
      <c r="G59">
        <v>600</v>
      </c>
      <c r="H59">
        <v>1</v>
      </c>
      <c r="I59" t="s">
        <v>21</v>
      </c>
      <c r="J59">
        <v>25</v>
      </c>
      <c r="K59">
        <v>1</v>
      </c>
      <c r="L59">
        <v>0</v>
      </c>
      <c r="M59">
        <v>181</v>
      </c>
      <c r="N59">
        <v>0.01</v>
      </c>
      <c r="O59">
        <v>1000000</v>
      </c>
      <c r="P59" s="2">
        <v>482</v>
      </c>
      <c r="Q59">
        <v>6.7649999999999997</v>
      </c>
      <c r="R59">
        <v>4.5</v>
      </c>
      <c r="S59">
        <v>0.73</v>
      </c>
      <c r="T59">
        <v>0.61625969192544583</v>
      </c>
      <c r="U59" s="11">
        <f t="shared" si="0"/>
        <v>946451.14643650537</v>
      </c>
      <c r="V59" s="7"/>
      <c r="W59" s="7">
        <f t="shared" si="1"/>
        <v>6.989005913459576E-7</v>
      </c>
    </row>
    <row r="60" spans="1:23" x14ac:dyDescent="0.3">
      <c r="A60" t="s">
        <v>7</v>
      </c>
      <c r="B60" t="s">
        <v>12</v>
      </c>
      <c r="C60" s="2" t="s">
        <v>13</v>
      </c>
      <c r="D60">
        <v>920</v>
      </c>
      <c r="E60">
        <v>103</v>
      </c>
      <c r="F60">
        <v>2</v>
      </c>
      <c r="G60">
        <v>25</v>
      </c>
      <c r="H60">
        <v>1</v>
      </c>
      <c r="I60" t="s">
        <v>21</v>
      </c>
      <c r="J60">
        <v>25</v>
      </c>
      <c r="K60">
        <v>1</v>
      </c>
      <c r="L60">
        <v>0</v>
      </c>
      <c r="M60">
        <v>181</v>
      </c>
      <c r="N60">
        <v>0.1</v>
      </c>
      <c r="O60">
        <v>5000000</v>
      </c>
      <c r="P60" s="2">
        <v>155</v>
      </c>
      <c r="Q60">
        <v>6.7649999999999997</v>
      </c>
      <c r="R60">
        <v>4.5</v>
      </c>
      <c r="S60">
        <v>0.73</v>
      </c>
      <c r="T60">
        <v>0.61625969192544583</v>
      </c>
      <c r="U60" s="11">
        <f t="shared" si="0"/>
        <v>4732255.732182527</v>
      </c>
      <c r="V60" s="7"/>
      <c r="W60" s="7">
        <f t="shared" si="1"/>
        <v>6.7321812774973763E-7</v>
      </c>
    </row>
    <row r="61" spans="1:23" x14ac:dyDescent="0.3">
      <c r="A61" t="s">
        <v>7</v>
      </c>
      <c r="B61" t="s">
        <v>14</v>
      </c>
      <c r="C61" s="2" t="s">
        <v>9</v>
      </c>
      <c r="D61">
        <v>25</v>
      </c>
      <c r="E61">
        <v>76</v>
      </c>
      <c r="F61">
        <v>2</v>
      </c>
      <c r="G61">
        <v>730</v>
      </c>
      <c r="H61">
        <v>2</v>
      </c>
      <c r="I61" t="s">
        <v>21</v>
      </c>
      <c r="J61">
        <v>25</v>
      </c>
      <c r="K61">
        <v>1</v>
      </c>
      <c r="L61">
        <v>0</v>
      </c>
      <c r="M61">
        <v>181</v>
      </c>
      <c r="N61">
        <v>0.1</v>
      </c>
      <c r="O61">
        <v>5000000</v>
      </c>
      <c r="P61" s="2">
        <v>265</v>
      </c>
      <c r="Q61">
        <v>6.7649999999999997</v>
      </c>
      <c r="R61">
        <v>4.5</v>
      </c>
      <c r="S61">
        <v>0.73</v>
      </c>
      <c r="T61">
        <v>0.61179755234275957</v>
      </c>
      <c r="U61" s="11">
        <f t="shared" si="0"/>
        <v>4730302.9419320738</v>
      </c>
      <c r="V61" s="7"/>
      <c r="W61" s="7">
        <f t="shared" si="1"/>
        <v>6.8523883730212022E-7</v>
      </c>
    </row>
    <row r="62" spans="1:23" x14ac:dyDescent="0.3">
      <c r="A62" t="s">
        <v>7</v>
      </c>
      <c r="B62" t="s">
        <v>8</v>
      </c>
      <c r="C62" s="2" t="s">
        <v>9</v>
      </c>
      <c r="D62">
        <v>25</v>
      </c>
      <c r="E62">
        <v>76</v>
      </c>
      <c r="F62">
        <v>2</v>
      </c>
      <c r="G62">
        <v>500</v>
      </c>
      <c r="H62">
        <v>2</v>
      </c>
      <c r="I62" t="s">
        <v>21</v>
      </c>
      <c r="J62">
        <v>25</v>
      </c>
      <c r="K62">
        <v>1</v>
      </c>
      <c r="L62">
        <v>0</v>
      </c>
      <c r="M62">
        <v>181</v>
      </c>
      <c r="N62">
        <v>0.1</v>
      </c>
      <c r="O62">
        <v>10000000</v>
      </c>
      <c r="P62" s="2">
        <v>430</v>
      </c>
      <c r="Q62">
        <v>6.7649999999999997</v>
      </c>
      <c r="R62">
        <v>4.5</v>
      </c>
      <c r="S62">
        <v>0.73</v>
      </c>
      <c r="T62">
        <v>0.61625969192544583</v>
      </c>
      <c r="U62" s="11">
        <f t="shared" si="0"/>
        <v>9464511.4643650539</v>
      </c>
      <c r="V62" s="7"/>
      <c r="W62" s="7">
        <f t="shared" si="1"/>
        <v>6.9627261559342036E-7</v>
      </c>
    </row>
    <row r="63" spans="1:23" x14ac:dyDescent="0.3">
      <c r="A63" t="s">
        <v>7</v>
      </c>
      <c r="B63" t="s">
        <v>8</v>
      </c>
      <c r="C63" s="2" t="s">
        <v>13</v>
      </c>
      <c r="D63">
        <v>900</v>
      </c>
      <c r="E63">
        <v>120</v>
      </c>
      <c r="F63">
        <v>2</v>
      </c>
      <c r="G63">
        <v>25</v>
      </c>
      <c r="H63">
        <v>1</v>
      </c>
      <c r="I63" t="s">
        <v>21</v>
      </c>
      <c r="J63">
        <v>25</v>
      </c>
      <c r="K63">
        <v>1</v>
      </c>
      <c r="L63">
        <v>0</v>
      </c>
      <c r="M63">
        <v>181</v>
      </c>
      <c r="N63">
        <v>-1</v>
      </c>
      <c r="O63">
        <v>10000000</v>
      </c>
      <c r="P63" s="2">
        <v>370</v>
      </c>
      <c r="Q63">
        <v>6.7649999999999997</v>
      </c>
      <c r="R63">
        <v>4.5</v>
      </c>
      <c r="S63">
        <v>0.73</v>
      </c>
      <c r="T63">
        <v>0.61625969192544583</v>
      </c>
      <c r="U63" s="11">
        <f t="shared" si="0"/>
        <v>9464511.4643650539</v>
      </c>
      <c r="V63" s="7"/>
      <c r="W63" s="7">
        <f t="shared" si="1"/>
        <v>6.9282813016766237E-7</v>
      </c>
    </row>
    <row r="64" spans="1:23" x14ac:dyDescent="0.3">
      <c r="A64" t="s">
        <v>7</v>
      </c>
      <c r="B64" t="s">
        <v>8</v>
      </c>
      <c r="C64" s="2" t="s">
        <v>13</v>
      </c>
      <c r="D64">
        <v>900</v>
      </c>
      <c r="E64">
        <v>120</v>
      </c>
      <c r="F64">
        <v>2</v>
      </c>
      <c r="G64">
        <v>25</v>
      </c>
      <c r="H64">
        <v>1</v>
      </c>
      <c r="I64" t="s">
        <v>21</v>
      </c>
      <c r="J64">
        <v>25</v>
      </c>
      <c r="K64">
        <v>1</v>
      </c>
      <c r="L64">
        <v>0</v>
      </c>
      <c r="M64">
        <v>181</v>
      </c>
      <c r="N64">
        <v>-1</v>
      </c>
      <c r="O64">
        <v>10000000</v>
      </c>
      <c r="P64" s="2">
        <v>580</v>
      </c>
      <c r="Q64">
        <v>6.7649999999999997</v>
      </c>
      <c r="R64">
        <v>4.5</v>
      </c>
      <c r="S64">
        <v>0.73</v>
      </c>
      <c r="T64">
        <v>0.61625969192544583</v>
      </c>
      <c r="U64" s="11">
        <f t="shared" si="0"/>
        <v>9464511.4643650539</v>
      </c>
      <c r="V64" s="7"/>
      <c r="W64" s="7">
        <f t="shared" si="1"/>
        <v>7.0318237934689411E-7</v>
      </c>
    </row>
    <row r="65" spans="1:23" x14ac:dyDescent="0.3">
      <c r="A65" t="s">
        <v>7</v>
      </c>
      <c r="B65" t="s">
        <v>14</v>
      </c>
      <c r="C65" s="2" t="s">
        <v>9</v>
      </c>
      <c r="D65">
        <v>25</v>
      </c>
      <c r="E65">
        <v>76</v>
      </c>
      <c r="F65">
        <v>2</v>
      </c>
      <c r="G65">
        <v>700</v>
      </c>
      <c r="H65">
        <v>1</v>
      </c>
      <c r="I65" t="s">
        <v>21</v>
      </c>
      <c r="J65">
        <v>25</v>
      </c>
      <c r="K65">
        <v>1</v>
      </c>
      <c r="L65">
        <v>0</v>
      </c>
      <c r="M65">
        <v>181</v>
      </c>
      <c r="N65">
        <v>0.2</v>
      </c>
      <c r="O65">
        <v>200000</v>
      </c>
      <c r="P65" s="2">
        <v>100</v>
      </c>
      <c r="Q65">
        <v>6.7649999999999997</v>
      </c>
      <c r="R65">
        <v>4.5</v>
      </c>
      <c r="S65">
        <v>0.73</v>
      </c>
      <c r="T65">
        <v>0.61179755234275957</v>
      </c>
      <c r="U65" s="11">
        <f t="shared" si="0"/>
        <v>189212.11767728298</v>
      </c>
      <c r="V65" s="7"/>
      <c r="W65" s="7">
        <f t="shared" si="1"/>
        <v>6.6355183676397996E-7</v>
      </c>
    </row>
    <row r="66" spans="1:23" x14ac:dyDescent="0.3">
      <c r="A66" t="s">
        <v>7</v>
      </c>
      <c r="B66" t="s">
        <v>8</v>
      </c>
      <c r="C66" s="2" t="s">
        <v>9</v>
      </c>
      <c r="D66">
        <v>25</v>
      </c>
      <c r="E66">
        <v>76</v>
      </c>
      <c r="F66">
        <v>2</v>
      </c>
      <c r="G66">
        <v>800</v>
      </c>
      <c r="H66">
        <v>2</v>
      </c>
      <c r="I66" t="s">
        <v>21</v>
      </c>
      <c r="J66">
        <v>25</v>
      </c>
      <c r="K66">
        <v>1</v>
      </c>
      <c r="L66">
        <v>0</v>
      </c>
      <c r="M66">
        <v>181</v>
      </c>
      <c r="N66">
        <v>-1</v>
      </c>
      <c r="O66">
        <v>10000000</v>
      </c>
      <c r="P66" s="2">
        <v>88</v>
      </c>
      <c r="Q66">
        <v>6.7649999999999997</v>
      </c>
      <c r="R66">
        <v>4.5</v>
      </c>
      <c r="S66">
        <v>0.73</v>
      </c>
      <c r="T66">
        <v>0.61625969192544583</v>
      </c>
      <c r="U66" s="11">
        <f t="shared" si="0"/>
        <v>9464511.4643650539</v>
      </c>
      <c r="V66" s="7"/>
      <c r="W66" s="7">
        <f t="shared" si="1"/>
        <v>6.6075853841333952E-7</v>
      </c>
    </row>
    <row r="67" spans="1:23" x14ac:dyDescent="0.3">
      <c r="A67" t="s">
        <v>7</v>
      </c>
      <c r="B67" t="s">
        <v>8</v>
      </c>
      <c r="C67" s="2" t="s">
        <v>13</v>
      </c>
      <c r="D67">
        <v>920</v>
      </c>
      <c r="E67">
        <v>100</v>
      </c>
      <c r="F67">
        <v>2</v>
      </c>
      <c r="G67">
        <v>25</v>
      </c>
      <c r="H67">
        <v>1</v>
      </c>
      <c r="I67" t="s">
        <v>21</v>
      </c>
      <c r="J67">
        <v>25</v>
      </c>
      <c r="K67">
        <v>1</v>
      </c>
      <c r="L67">
        <v>0</v>
      </c>
      <c r="M67">
        <v>181</v>
      </c>
      <c r="N67">
        <v>-1</v>
      </c>
      <c r="O67">
        <v>10000000</v>
      </c>
      <c r="P67" s="2">
        <v>250</v>
      </c>
      <c r="Q67">
        <v>6.7649999999999997</v>
      </c>
      <c r="R67">
        <v>4.5</v>
      </c>
      <c r="S67">
        <v>0.73</v>
      </c>
      <c r="T67">
        <v>0.73537358108759721</v>
      </c>
      <c r="U67" s="11">
        <f t="shared" ref="U67:U130" si="2">O67*(1-0.033/T67)</f>
        <v>9551248.4967002217</v>
      </c>
      <c r="V67" s="7"/>
      <c r="W67" s="7">
        <f t="shared" ref="W67:W130" si="3">5.7*10^(-7)*P67^(0.033)</f>
        <v>6.8392247538457671E-7</v>
      </c>
    </row>
    <row r="68" spans="1:23" x14ac:dyDescent="0.3">
      <c r="A68" t="s">
        <v>7</v>
      </c>
      <c r="B68" t="s">
        <v>8</v>
      </c>
      <c r="C68" s="2" t="s">
        <v>4</v>
      </c>
      <c r="D68">
        <v>25</v>
      </c>
      <c r="E68">
        <v>76</v>
      </c>
      <c r="F68">
        <v>2</v>
      </c>
      <c r="G68">
        <v>920</v>
      </c>
      <c r="H68">
        <v>2</v>
      </c>
      <c r="I68" t="s">
        <v>5</v>
      </c>
      <c r="J68">
        <v>670</v>
      </c>
      <c r="K68">
        <v>4</v>
      </c>
      <c r="L68">
        <v>1</v>
      </c>
      <c r="M68">
        <v>75</v>
      </c>
      <c r="N68">
        <v>-1</v>
      </c>
      <c r="O68">
        <v>10000000</v>
      </c>
      <c r="P68" s="2">
        <v>590</v>
      </c>
      <c r="Q68">
        <v>6.7649999999999997</v>
      </c>
      <c r="R68">
        <v>4.5</v>
      </c>
      <c r="S68">
        <v>0.73</v>
      </c>
      <c r="T68">
        <v>0.5859424772788725</v>
      </c>
      <c r="U68" s="11">
        <f t="shared" si="2"/>
        <v>9436804.7840932682</v>
      </c>
      <c r="V68" s="7"/>
      <c r="W68" s="7">
        <f t="shared" si="3"/>
        <v>7.0357916789648109E-7</v>
      </c>
    </row>
    <row r="69" spans="1:23" x14ac:dyDescent="0.3">
      <c r="A69" t="s">
        <v>7</v>
      </c>
      <c r="B69" t="s">
        <v>10</v>
      </c>
      <c r="C69" s="2" t="s">
        <v>6</v>
      </c>
      <c r="D69">
        <v>25</v>
      </c>
      <c r="E69">
        <v>76</v>
      </c>
      <c r="F69">
        <v>2</v>
      </c>
      <c r="G69">
        <v>25</v>
      </c>
      <c r="H69">
        <v>1</v>
      </c>
      <c r="I69" t="s">
        <v>21</v>
      </c>
      <c r="J69">
        <v>25</v>
      </c>
      <c r="K69">
        <v>1</v>
      </c>
      <c r="L69">
        <v>0</v>
      </c>
      <c r="M69">
        <v>75</v>
      </c>
      <c r="N69">
        <v>-1</v>
      </c>
      <c r="O69">
        <v>10000000</v>
      </c>
      <c r="P69" s="2">
        <v>590</v>
      </c>
      <c r="Q69">
        <v>6.7649999999999997</v>
      </c>
      <c r="R69">
        <v>4.5</v>
      </c>
      <c r="S69">
        <v>0.73</v>
      </c>
      <c r="T69">
        <v>0.61625969192544583</v>
      </c>
      <c r="U69" s="11">
        <f t="shared" si="2"/>
        <v>9464511.4643650539</v>
      </c>
      <c r="V69" s="7"/>
      <c r="W69" s="7">
        <f t="shared" si="3"/>
        <v>7.0357916789648109E-7</v>
      </c>
    </row>
    <row r="70" spans="1:23" x14ac:dyDescent="0.3">
      <c r="A70" t="s">
        <v>7</v>
      </c>
      <c r="B70" t="s">
        <v>11</v>
      </c>
      <c r="C70" s="2" t="s">
        <v>9</v>
      </c>
      <c r="D70">
        <v>25</v>
      </c>
      <c r="E70">
        <v>76</v>
      </c>
      <c r="F70">
        <v>1</v>
      </c>
      <c r="G70">
        <v>600</v>
      </c>
      <c r="H70">
        <v>1</v>
      </c>
      <c r="I70" t="s">
        <v>21</v>
      </c>
      <c r="J70">
        <v>25</v>
      </c>
      <c r="K70">
        <v>1</v>
      </c>
      <c r="L70">
        <v>0</v>
      </c>
      <c r="M70">
        <v>75</v>
      </c>
      <c r="N70">
        <v>-1</v>
      </c>
      <c r="O70">
        <v>10000000</v>
      </c>
      <c r="P70" s="2">
        <v>590</v>
      </c>
      <c r="Q70">
        <v>6.7649999999999997</v>
      </c>
      <c r="R70">
        <v>4.5</v>
      </c>
      <c r="S70">
        <v>0.73</v>
      </c>
      <c r="T70">
        <v>0.61625969192544583</v>
      </c>
      <c r="U70" s="11">
        <f t="shared" si="2"/>
        <v>9464511.4643650539</v>
      </c>
      <c r="V70" s="7"/>
      <c r="W70" s="7">
        <f t="shared" si="3"/>
        <v>7.0357916789648109E-7</v>
      </c>
    </row>
    <row r="71" spans="1:23" x14ac:dyDescent="0.3">
      <c r="A71" t="s">
        <v>7</v>
      </c>
      <c r="B71" t="s">
        <v>12</v>
      </c>
      <c r="C71" s="2" t="s">
        <v>13</v>
      </c>
      <c r="D71">
        <v>920</v>
      </c>
      <c r="E71">
        <v>103</v>
      </c>
      <c r="F71">
        <v>2</v>
      </c>
      <c r="G71">
        <v>25</v>
      </c>
      <c r="H71">
        <v>1</v>
      </c>
      <c r="I71" t="s">
        <v>21</v>
      </c>
      <c r="J71">
        <v>25</v>
      </c>
      <c r="K71">
        <v>1</v>
      </c>
      <c r="L71">
        <v>0</v>
      </c>
      <c r="M71">
        <v>75</v>
      </c>
      <c r="N71">
        <v>-1</v>
      </c>
      <c r="O71">
        <v>10000000</v>
      </c>
      <c r="P71" s="2">
        <v>590</v>
      </c>
      <c r="Q71">
        <v>6.7649999999999997</v>
      </c>
      <c r="R71">
        <v>4.5</v>
      </c>
      <c r="S71">
        <v>0.73</v>
      </c>
      <c r="T71">
        <v>0.61625969192544583</v>
      </c>
      <c r="U71" s="11">
        <f t="shared" si="2"/>
        <v>9464511.4643650539</v>
      </c>
      <c r="V71" s="7"/>
      <c r="W71" s="7">
        <f t="shared" si="3"/>
        <v>7.0357916789648109E-7</v>
      </c>
    </row>
    <row r="72" spans="1:23" x14ac:dyDescent="0.3">
      <c r="A72" t="s">
        <v>7</v>
      </c>
      <c r="B72" t="s">
        <v>14</v>
      </c>
      <c r="C72" s="2" t="s">
        <v>9</v>
      </c>
      <c r="D72">
        <v>25</v>
      </c>
      <c r="E72">
        <v>76</v>
      </c>
      <c r="F72">
        <v>1</v>
      </c>
      <c r="G72">
        <v>730</v>
      </c>
      <c r="H72">
        <v>2</v>
      </c>
      <c r="I72" t="s">
        <v>21</v>
      </c>
      <c r="J72">
        <v>25</v>
      </c>
      <c r="K72">
        <v>1</v>
      </c>
      <c r="L72">
        <v>0</v>
      </c>
      <c r="M72">
        <v>75</v>
      </c>
      <c r="N72">
        <v>-1</v>
      </c>
      <c r="O72">
        <v>10000000</v>
      </c>
      <c r="P72" s="2">
        <v>590</v>
      </c>
      <c r="Q72">
        <v>6.7649999999999997</v>
      </c>
      <c r="R72">
        <v>4.5</v>
      </c>
      <c r="S72">
        <v>0.73</v>
      </c>
      <c r="T72">
        <v>0.61625969192544583</v>
      </c>
      <c r="U72" s="11">
        <f t="shared" si="2"/>
        <v>9464511.4643650539</v>
      </c>
      <c r="V72" s="7"/>
      <c r="W72" s="7">
        <f t="shared" si="3"/>
        <v>7.0357916789648109E-7</v>
      </c>
    </row>
    <row r="73" spans="1:23" x14ac:dyDescent="0.3">
      <c r="A73" t="s">
        <v>7</v>
      </c>
      <c r="B73" t="s">
        <v>8</v>
      </c>
      <c r="C73" s="2" t="s">
        <v>9</v>
      </c>
      <c r="D73">
        <v>25</v>
      </c>
      <c r="E73">
        <v>76</v>
      </c>
      <c r="F73">
        <v>1</v>
      </c>
      <c r="G73">
        <v>500</v>
      </c>
      <c r="H73">
        <v>2</v>
      </c>
      <c r="I73" t="s">
        <v>21</v>
      </c>
      <c r="J73">
        <v>25</v>
      </c>
      <c r="K73">
        <v>1</v>
      </c>
      <c r="L73">
        <v>0</v>
      </c>
      <c r="M73">
        <v>75</v>
      </c>
      <c r="N73">
        <v>-1</v>
      </c>
      <c r="O73">
        <v>10000000</v>
      </c>
      <c r="P73" s="2">
        <v>590</v>
      </c>
      <c r="Q73">
        <v>6.7649999999999997</v>
      </c>
      <c r="R73">
        <v>4.5</v>
      </c>
      <c r="S73">
        <v>0.73</v>
      </c>
      <c r="T73">
        <v>0.61179755234275957</v>
      </c>
      <c r="U73" s="11">
        <f t="shared" si="2"/>
        <v>9460605.8838641476</v>
      </c>
      <c r="V73" s="7"/>
      <c r="W73" s="7">
        <f t="shared" si="3"/>
        <v>7.0357916789648109E-7</v>
      </c>
    </row>
    <row r="74" spans="1:23" x14ac:dyDescent="0.3">
      <c r="A74" t="s">
        <v>7</v>
      </c>
      <c r="B74" t="s">
        <v>8</v>
      </c>
      <c r="C74" s="2" t="s">
        <v>13</v>
      </c>
      <c r="D74">
        <v>900</v>
      </c>
      <c r="E74">
        <v>120</v>
      </c>
      <c r="F74">
        <v>2</v>
      </c>
      <c r="G74">
        <v>25</v>
      </c>
      <c r="H74">
        <v>1</v>
      </c>
      <c r="I74" t="s">
        <v>21</v>
      </c>
      <c r="J74">
        <v>25</v>
      </c>
      <c r="K74">
        <v>1</v>
      </c>
      <c r="L74">
        <v>0</v>
      </c>
      <c r="M74">
        <v>75</v>
      </c>
      <c r="N74">
        <v>-1</v>
      </c>
      <c r="O74">
        <v>10000000</v>
      </c>
      <c r="P74" s="2">
        <v>590</v>
      </c>
      <c r="Q74">
        <v>6.7649999999999997</v>
      </c>
      <c r="R74">
        <v>4.5</v>
      </c>
      <c r="S74">
        <v>0.73</v>
      </c>
      <c r="T74">
        <v>0.61625969192544583</v>
      </c>
      <c r="U74" s="11">
        <f t="shared" si="2"/>
        <v>9464511.4643650539</v>
      </c>
      <c r="V74" s="7"/>
      <c r="W74" s="7">
        <f t="shared" si="3"/>
        <v>7.0357916789648109E-7</v>
      </c>
    </row>
    <row r="75" spans="1:23" x14ac:dyDescent="0.3">
      <c r="A75" t="s">
        <v>7</v>
      </c>
      <c r="B75" t="s">
        <v>8</v>
      </c>
      <c r="C75" s="2" t="s">
        <v>13</v>
      </c>
      <c r="D75">
        <v>900</v>
      </c>
      <c r="E75">
        <v>120</v>
      </c>
      <c r="F75">
        <v>2</v>
      </c>
      <c r="G75">
        <v>25</v>
      </c>
      <c r="H75">
        <v>1</v>
      </c>
      <c r="I75" t="s">
        <v>21</v>
      </c>
      <c r="J75">
        <v>25</v>
      </c>
      <c r="K75">
        <v>1</v>
      </c>
      <c r="L75">
        <v>0</v>
      </c>
      <c r="M75">
        <v>75</v>
      </c>
      <c r="N75">
        <v>-1</v>
      </c>
      <c r="O75">
        <v>10000000</v>
      </c>
      <c r="P75" s="2">
        <v>590</v>
      </c>
      <c r="Q75">
        <v>6.7649999999999997</v>
      </c>
      <c r="R75">
        <v>4.5</v>
      </c>
      <c r="S75">
        <v>0.73</v>
      </c>
      <c r="T75">
        <v>0.61625969192544583</v>
      </c>
      <c r="U75" s="11">
        <f t="shared" si="2"/>
        <v>9464511.4643650539</v>
      </c>
      <c r="V75" s="7"/>
      <c r="W75" s="7">
        <f t="shared" si="3"/>
        <v>7.0357916789648109E-7</v>
      </c>
    </row>
    <row r="76" spans="1:23" x14ac:dyDescent="0.3">
      <c r="A76" t="s">
        <v>7</v>
      </c>
      <c r="B76" t="s">
        <v>8</v>
      </c>
      <c r="C76" s="2" t="s">
        <v>15</v>
      </c>
      <c r="D76">
        <v>25</v>
      </c>
      <c r="E76">
        <v>76</v>
      </c>
      <c r="F76">
        <v>1</v>
      </c>
      <c r="G76">
        <v>650</v>
      </c>
      <c r="H76">
        <v>3</v>
      </c>
      <c r="I76" t="s">
        <v>21</v>
      </c>
      <c r="J76">
        <v>25</v>
      </c>
      <c r="K76">
        <v>1</v>
      </c>
      <c r="L76">
        <v>0</v>
      </c>
      <c r="M76">
        <v>75</v>
      </c>
      <c r="N76">
        <v>-1</v>
      </c>
      <c r="O76">
        <v>10000000</v>
      </c>
      <c r="P76" s="2">
        <v>590</v>
      </c>
      <c r="Q76">
        <v>6.7649999999999997</v>
      </c>
      <c r="R76">
        <v>4.5</v>
      </c>
      <c r="S76">
        <v>0.73</v>
      </c>
      <c r="T76">
        <v>0.61625969192544583</v>
      </c>
      <c r="U76" s="11">
        <f t="shared" si="2"/>
        <v>9464511.4643650539</v>
      </c>
      <c r="V76" s="7"/>
      <c r="W76" s="7">
        <f t="shared" si="3"/>
        <v>7.0357916789648109E-7</v>
      </c>
    </row>
    <row r="77" spans="1:23" x14ac:dyDescent="0.3">
      <c r="A77" t="s">
        <v>7</v>
      </c>
      <c r="B77" t="s">
        <v>14</v>
      </c>
      <c r="C77" s="2" t="s">
        <v>9</v>
      </c>
      <c r="D77">
        <v>25</v>
      </c>
      <c r="E77">
        <v>76</v>
      </c>
      <c r="F77">
        <v>1</v>
      </c>
      <c r="G77">
        <v>700</v>
      </c>
      <c r="H77">
        <v>1</v>
      </c>
      <c r="I77" t="s">
        <v>21</v>
      </c>
      <c r="J77">
        <v>25</v>
      </c>
      <c r="K77">
        <v>1</v>
      </c>
      <c r="L77">
        <v>0</v>
      </c>
      <c r="M77">
        <v>75</v>
      </c>
      <c r="N77">
        <v>-1</v>
      </c>
      <c r="O77">
        <v>10000000</v>
      </c>
      <c r="P77" s="2">
        <v>590</v>
      </c>
      <c r="Q77">
        <v>6.7649999999999997</v>
      </c>
      <c r="R77">
        <v>4.5</v>
      </c>
      <c r="S77">
        <v>0.73</v>
      </c>
      <c r="T77">
        <v>0.53152886883138439</v>
      </c>
      <c r="U77" s="11">
        <f t="shared" si="2"/>
        <v>9379149.4322302081</v>
      </c>
      <c r="V77" s="7"/>
      <c r="W77" s="7">
        <f t="shared" si="3"/>
        <v>7.0357916789648109E-7</v>
      </c>
    </row>
    <row r="78" spans="1:23" x14ac:dyDescent="0.3">
      <c r="A78" t="s">
        <v>7</v>
      </c>
      <c r="B78" t="s">
        <v>8</v>
      </c>
      <c r="C78" s="2" t="s">
        <v>9</v>
      </c>
      <c r="D78">
        <v>25</v>
      </c>
      <c r="E78">
        <v>76</v>
      </c>
      <c r="F78">
        <v>1</v>
      </c>
      <c r="G78">
        <v>800</v>
      </c>
      <c r="H78">
        <v>2</v>
      </c>
      <c r="I78" t="s">
        <v>21</v>
      </c>
      <c r="J78">
        <v>25</v>
      </c>
      <c r="K78">
        <v>1</v>
      </c>
      <c r="L78">
        <v>0</v>
      </c>
      <c r="M78">
        <v>75</v>
      </c>
      <c r="N78">
        <v>-1</v>
      </c>
      <c r="O78">
        <v>10000000</v>
      </c>
      <c r="P78" s="2">
        <v>590</v>
      </c>
      <c r="Q78">
        <v>6.7649999999999997</v>
      </c>
      <c r="R78">
        <v>4.5</v>
      </c>
      <c r="S78">
        <v>0.73</v>
      </c>
      <c r="T78">
        <v>0.61179755234275957</v>
      </c>
      <c r="U78" s="11">
        <f t="shared" si="2"/>
        <v>9460605.8838641476</v>
      </c>
      <c r="V78" s="7"/>
      <c r="W78" s="7">
        <f t="shared" si="3"/>
        <v>7.0357916789648109E-7</v>
      </c>
    </row>
    <row r="79" spans="1:23" x14ac:dyDescent="0.3">
      <c r="A79" t="s">
        <v>7</v>
      </c>
      <c r="B79" t="s">
        <v>8</v>
      </c>
      <c r="C79" s="2" t="s">
        <v>13</v>
      </c>
      <c r="D79">
        <v>920</v>
      </c>
      <c r="E79">
        <v>100</v>
      </c>
      <c r="F79">
        <v>2</v>
      </c>
      <c r="G79">
        <v>25</v>
      </c>
      <c r="H79">
        <v>1</v>
      </c>
      <c r="I79" t="s">
        <v>21</v>
      </c>
      <c r="J79">
        <v>25</v>
      </c>
      <c r="K79">
        <v>1</v>
      </c>
      <c r="L79">
        <v>0</v>
      </c>
      <c r="M79">
        <v>75</v>
      </c>
      <c r="N79">
        <v>-1</v>
      </c>
      <c r="O79">
        <v>10000000</v>
      </c>
      <c r="P79" s="2">
        <v>590</v>
      </c>
      <c r="Q79">
        <v>6.7649999999999997</v>
      </c>
      <c r="R79">
        <v>4.5</v>
      </c>
      <c r="S79">
        <v>0.73</v>
      </c>
      <c r="T79">
        <v>0.61179755234275957</v>
      </c>
      <c r="U79" s="11">
        <f t="shared" si="2"/>
        <v>9460605.8838641476</v>
      </c>
      <c r="V79" s="7"/>
      <c r="W79" s="7">
        <f t="shared" si="3"/>
        <v>7.0357916789648109E-7</v>
      </c>
    </row>
    <row r="80" spans="1:23" x14ac:dyDescent="0.3">
      <c r="A80" t="s">
        <v>7</v>
      </c>
      <c r="B80" t="s">
        <v>16</v>
      </c>
      <c r="C80" s="2" t="s">
        <v>6</v>
      </c>
      <c r="D80">
        <v>25</v>
      </c>
      <c r="E80">
        <v>76</v>
      </c>
      <c r="F80">
        <v>2</v>
      </c>
      <c r="G80">
        <v>25</v>
      </c>
      <c r="H80">
        <v>1</v>
      </c>
      <c r="I80" t="s">
        <v>21</v>
      </c>
      <c r="J80">
        <v>25</v>
      </c>
      <c r="K80">
        <v>1</v>
      </c>
      <c r="L80">
        <v>0</v>
      </c>
      <c r="M80">
        <v>75</v>
      </c>
      <c r="N80">
        <v>-1</v>
      </c>
      <c r="O80">
        <v>10000000</v>
      </c>
      <c r="P80" s="2">
        <v>590</v>
      </c>
      <c r="Q80">
        <v>6.7649999999999997</v>
      </c>
      <c r="R80">
        <v>4.5</v>
      </c>
      <c r="S80">
        <v>0.73</v>
      </c>
      <c r="T80">
        <v>0.61179755234275957</v>
      </c>
      <c r="U80" s="11">
        <f t="shared" si="2"/>
        <v>9460605.8838641476</v>
      </c>
      <c r="V80" s="7"/>
      <c r="W80" s="7">
        <f t="shared" si="3"/>
        <v>7.0357916789648109E-7</v>
      </c>
    </row>
    <row r="81" spans="1:23" x14ac:dyDescent="0.3">
      <c r="A81" t="s">
        <v>7</v>
      </c>
      <c r="B81" t="s">
        <v>8</v>
      </c>
      <c r="C81" s="2" t="s">
        <v>17</v>
      </c>
      <c r="D81">
        <v>920</v>
      </c>
      <c r="E81">
        <v>100</v>
      </c>
      <c r="F81">
        <v>2</v>
      </c>
      <c r="G81">
        <v>800</v>
      </c>
      <c r="H81">
        <v>2</v>
      </c>
      <c r="I81" t="s">
        <v>21</v>
      </c>
      <c r="J81">
        <v>25</v>
      </c>
      <c r="K81">
        <v>1</v>
      </c>
      <c r="L81">
        <v>0</v>
      </c>
      <c r="M81">
        <v>75</v>
      </c>
      <c r="N81">
        <v>-1</v>
      </c>
      <c r="O81">
        <v>10000000</v>
      </c>
      <c r="P81" s="2">
        <v>590</v>
      </c>
      <c r="Q81">
        <v>6.7649999999999997</v>
      </c>
      <c r="R81">
        <v>4.5</v>
      </c>
      <c r="S81">
        <v>0.73</v>
      </c>
      <c r="T81">
        <v>0.61179755234275957</v>
      </c>
      <c r="U81" s="11">
        <f t="shared" si="2"/>
        <v>9460605.8838641476</v>
      </c>
      <c r="V81" s="7"/>
      <c r="W81" s="7">
        <f t="shared" si="3"/>
        <v>7.0357916789648109E-7</v>
      </c>
    </row>
    <row r="82" spans="1:23" x14ac:dyDescent="0.3">
      <c r="A82" t="s">
        <v>7</v>
      </c>
      <c r="B82" t="s">
        <v>8</v>
      </c>
      <c r="C82" s="2" t="s">
        <v>18</v>
      </c>
      <c r="D82">
        <v>920</v>
      </c>
      <c r="E82">
        <v>100</v>
      </c>
      <c r="F82">
        <v>2</v>
      </c>
      <c r="G82">
        <v>800</v>
      </c>
      <c r="H82">
        <v>2</v>
      </c>
      <c r="I82" t="s">
        <v>21</v>
      </c>
      <c r="J82">
        <v>25</v>
      </c>
      <c r="K82">
        <v>1</v>
      </c>
      <c r="L82">
        <v>1</v>
      </c>
      <c r="M82">
        <v>75</v>
      </c>
      <c r="N82">
        <v>-1</v>
      </c>
      <c r="O82">
        <v>10000000</v>
      </c>
      <c r="P82" s="2">
        <v>590</v>
      </c>
      <c r="Q82">
        <v>6.7649999999999997</v>
      </c>
      <c r="R82">
        <v>4.5</v>
      </c>
      <c r="S82">
        <v>0.73</v>
      </c>
      <c r="T82">
        <v>0.61179755234275957</v>
      </c>
      <c r="U82" s="11">
        <f t="shared" si="2"/>
        <v>9460605.8838641476</v>
      </c>
      <c r="V82" s="7"/>
      <c r="W82" s="7">
        <f t="shared" si="3"/>
        <v>7.0357916789648109E-7</v>
      </c>
    </row>
    <row r="83" spans="1:23" x14ac:dyDescent="0.3">
      <c r="A83" t="s">
        <v>7</v>
      </c>
      <c r="B83" t="s">
        <v>8</v>
      </c>
      <c r="C83" s="2" t="s">
        <v>6</v>
      </c>
      <c r="D83">
        <v>25</v>
      </c>
      <c r="E83">
        <v>76</v>
      </c>
      <c r="F83">
        <v>2</v>
      </c>
      <c r="G83">
        <v>25</v>
      </c>
      <c r="H83">
        <v>1</v>
      </c>
      <c r="I83" t="s">
        <v>21</v>
      </c>
      <c r="J83">
        <v>25</v>
      </c>
      <c r="K83">
        <v>1</v>
      </c>
      <c r="L83">
        <v>0</v>
      </c>
      <c r="M83">
        <v>75</v>
      </c>
      <c r="N83">
        <v>-1</v>
      </c>
      <c r="O83">
        <v>10000000</v>
      </c>
      <c r="P83" s="2">
        <v>590</v>
      </c>
      <c r="Q83">
        <v>6.7649999999999997</v>
      </c>
      <c r="R83">
        <v>4.5</v>
      </c>
      <c r="S83">
        <v>0.73</v>
      </c>
      <c r="T83">
        <v>0.61179755234275957</v>
      </c>
      <c r="U83" s="11">
        <f t="shared" si="2"/>
        <v>9460605.8838641476</v>
      </c>
      <c r="V83" s="7"/>
      <c r="W83" s="7">
        <f t="shared" si="3"/>
        <v>7.0357916789648109E-7</v>
      </c>
    </row>
    <row r="84" spans="1:23" x14ac:dyDescent="0.3">
      <c r="A84" t="s">
        <v>7</v>
      </c>
      <c r="B84" t="s">
        <v>16</v>
      </c>
      <c r="C84" s="2" t="s">
        <v>6</v>
      </c>
      <c r="D84">
        <v>25</v>
      </c>
      <c r="E84">
        <v>76</v>
      </c>
      <c r="F84">
        <v>2</v>
      </c>
      <c r="G84">
        <v>25</v>
      </c>
      <c r="H84">
        <v>1</v>
      </c>
      <c r="I84" t="s">
        <v>21</v>
      </c>
      <c r="J84">
        <v>25</v>
      </c>
      <c r="K84">
        <v>1</v>
      </c>
      <c r="L84">
        <v>0</v>
      </c>
      <c r="M84">
        <v>75</v>
      </c>
      <c r="N84">
        <v>-1</v>
      </c>
      <c r="O84">
        <v>10000000</v>
      </c>
      <c r="P84" s="2">
        <v>590</v>
      </c>
      <c r="Q84">
        <v>6.7649999999999997</v>
      </c>
      <c r="R84">
        <v>4.5</v>
      </c>
      <c r="S84">
        <v>0.73</v>
      </c>
      <c r="T84">
        <v>0.61179755234275957</v>
      </c>
      <c r="U84" s="11">
        <f t="shared" si="2"/>
        <v>9460605.8838641476</v>
      </c>
      <c r="V84" s="7"/>
      <c r="W84" s="7">
        <f t="shared" si="3"/>
        <v>7.0357916789648109E-7</v>
      </c>
    </row>
    <row r="85" spans="1:23" x14ac:dyDescent="0.3">
      <c r="A85" t="s">
        <v>7</v>
      </c>
      <c r="B85" t="s">
        <v>8</v>
      </c>
      <c r="C85" s="2" t="s">
        <v>4</v>
      </c>
      <c r="D85">
        <v>25</v>
      </c>
      <c r="E85">
        <v>76</v>
      </c>
      <c r="F85">
        <v>2</v>
      </c>
      <c r="G85">
        <v>920</v>
      </c>
      <c r="H85">
        <v>2</v>
      </c>
      <c r="I85" t="s">
        <v>5</v>
      </c>
      <c r="J85">
        <v>670</v>
      </c>
      <c r="K85">
        <v>4</v>
      </c>
      <c r="L85">
        <v>0</v>
      </c>
      <c r="M85">
        <v>75</v>
      </c>
      <c r="N85">
        <v>-1</v>
      </c>
      <c r="O85">
        <v>10000000</v>
      </c>
      <c r="P85" s="2">
        <v>590</v>
      </c>
      <c r="Q85">
        <v>6.7649999999999997</v>
      </c>
      <c r="R85">
        <v>4.5</v>
      </c>
      <c r="S85">
        <v>0.73</v>
      </c>
      <c r="T85">
        <v>0.58169985496347387</v>
      </c>
      <c r="U85" s="11">
        <f t="shared" si="2"/>
        <v>9432697.1251854245</v>
      </c>
      <c r="V85" s="7"/>
      <c r="W85" s="7">
        <f t="shared" si="3"/>
        <v>7.0357916789648109E-7</v>
      </c>
    </row>
    <row r="86" spans="1:23" x14ac:dyDescent="0.3">
      <c r="A86" t="s">
        <v>7</v>
      </c>
      <c r="B86" t="s">
        <v>8</v>
      </c>
      <c r="C86" s="2" t="s">
        <v>17</v>
      </c>
      <c r="D86">
        <v>920</v>
      </c>
      <c r="E86">
        <v>200</v>
      </c>
      <c r="F86">
        <v>1</v>
      </c>
      <c r="G86">
        <v>670</v>
      </c>
      <c r="H86">
        <v>1</v>
      </c>
      <c r="I86" t="s">
        <v>21</v>
      </c>
      <c r="J86">
        <v>25</v>
      </c>
      <c r="K86">
        <v>1</v>
      </c>
      <c r="L86">
        <v>0</v>
      </c>
      <c r="M86">
        <v>75</v>
      </c>
      <c r="N86">
        <v>-1</v>
      </c>
      <c r="O86">
        <v>10000000</v>
      </c>
      <c r="P86" s="2">
        <v>590</v>
      </c>
      <c r="Q86">
        <v>6.7649999999999997</v>
      </c>
      <c r="R86">
        <v>4.5</v>
      </c>
      <c r="S86">
        <v>0.73</v>
      </c>
      <c r="T86">
        <v>0.61625969192544583</v>
      </c>
      <c r="U86" s="11">
        <f t="shared" si="2"/>
        <v>9464511.4643650539</v>
      </c>
      <c r="V86" s="7"/>
      <c r="W86" s="7">
        <f t="shared" si="3"/>
        <v>7.0357916789648109E-7</v>
      </c>
    </row>
    <row r="87" spans="1:23" x14ac:dyDescent="0.3">
      <c r="A87" t="s">
        <v>7</v>
      </c>
      <c r="B87" t="s">
        <v>8</v>
      </c>
      <c r="C87" s="2" t="s">
        <v>17</v>
      </c>
      <c r="D87">
        <v>920</v>
      </c>
      <c r="E87">
        <v>200</v>
      </c>
      <c r="F87">
        <v>1</v>
      </c>
      <c r="G87">
        <v>670</v>
      </c>
      <c r="H87">
        <v>1</v>
      </c>
      <c r="I87" t="s">
        <v>21</v>
      </c>
      <c r="J87">
        <v>25</v>
      </c>
      <c r="K87">
        <v>1</v>
      </c>
      <c r="L87">
        <v>0</v>
      </c>
      <c r="M87">
        <v>75</v>
      </c>
      <c r="N87">
        <v>-1</v>
      </c>
      <c r="O87">
        <v>10000000</v>
      </c>
      <c r="P87" s="2">
        <v>590</v>
      </c>
      <c r="Q87">
        <v>6.7649999999999997</v>
      </c>
      <c r="R87">
        <v>4.5</v>
      </c>
      <c r="S87">
        <v>0.73</v>
      </c>
      <c r="T87">
        <v>0.61625969192544583</v>
      </c>
      <c r="U87" s="11">
        <f t="shared" si="2"/>
        <v>9464511.4643650539</v>
      </c>
      <c r="V87" s="7"/>
      <c r="W87" s="7">
        <f t="shared" si="3"/>
        <v>7.0357916789648109E-7</v>
      </c>
    </row>
    <row r="88" spans="1:23" x14ac:dyDescent="0.3">
      <c r="A88" t="s">
        <v>7</v>
      </c>
      <c r="B88" t="s">
        <v>19</v>
      </c>
      <c r="C88" s="2" t="s">
        <v>9</v>
      </c>
      <c r="D88">
        <v>25</v>
      </c>
      <c r="E88">
        <v>76</v>
      </c>
      <c r="F88">
        <v>1</v>
      </c>
      <c r="G88">
        <v>650</v>
      </c>
      <c r="H88">
        <v>2</v>
      </c>
      <c r="I88" t="s">
        <v>21</v>
      </c>
      <c r="J88">
        <v>25</v>
      </c>
      <c r="K88">
        <v>1</v>
      </c>
      <c r="L88">
        <v>1</v>
      </c>
      <c r="M88">
        <v>32</v>
      </c>
      <c r="N88">
        <v>-1</v>
      </c>
      <c r="O88">
        <v>100000</v>
      </c>
      <c r="P88" s="2">
        <v>60</v>
      </c>
      <c r="Q88">
        <v>6.7649999999999997</v>
      </c>
      <c r="R88">
        <v>4.5</v>
      </c>
      <c r="S88">
        <v>0.73</v>
      </c>
      <c r="T88">
        <v>0.61625969192544583</v>
      </c>
      <c r="U88" s="11">
        <f t="shared" si="2"/>
        <v>94645.114643650537</v>
      </c>
      <c r="V88" s="7"/>
      <c r="W88" s="7">
        <f t="shared" si="3"/>
        <v>6.5245993263099976E-7</v>
      </c>
    </row>
    <row r="89" spans="1:23" x14ac:dyDescent="0.3">
      <c r="A89" t="s">
        <v>7</v>
      </c>
      <c r="B89" t="s">
        <v>19</v>
      </c>
      <c r="C89" s="2" t="s">
        <v>13</v>
      </c>
      <c r="D89">
        <v>900</v>
      </c>
      <c r="E89">
        <v>102</v>
      </c>
      <c r="F89">
        <v>2</v>
      </c>
      <c r="G89">
        <v>25</v>
      </c>
      <c r="H89">
        <v>1</v>
      </c>
      <c r="I89" t="s">
        <v>21</v>
      </c>
      <c r="J89">
        <v>25</v>
      </c>
      <c r="K89">
        <v>1</v>
      </c>
      <c r="L89">
        <v>1</v>
      </c>
      <c r="M89">
        <v>32</v>
      </c>
      <c r="N89">
        <v>-1</v>
      </c>
      <c r="O89">
        <v>10000000</v>
      </c>
      <c r="P89" s="2">
        <v>405</v>
      </c>
      <c r="Q89">
        <v>6.7649999999999997</v>
      </c>
      <c r="R89">
        <v>4.5</v>
      </c>
      <c r="S89">
        <v>0.73</v>
      </c>
      <c r="T89">
        <v>0.61625969192544583</v>
      </c>
      <c r="U89" s="11">
        <f t="shared" si="2"/>
        <v>9464511.4643650539</v>
      </c>
      <c r="V89" s="7"/>
      <c r="W89" s="7">
        <f t="shared" si="3"/>
        <v>6.9489769552281564E-7</v>
      </c>
    </row>
    <row r="90" spans="1:23" x14ac:dyDescent="0.3">
      <c r="A90" t="s">
        <v>7</v>
      </c>
      <c r="B90" t="s">
        <v>19</v>
      </c>
      <c r="C90" s="2" t="s">
        <v>9</v>
      </c>
      <c r="D90">
        <v>25</v>
      </c>
      <c r="E90">
        <v>76</v>
      </c>
      <c r="F90">
        <v>1</v>
      </c>
      <c r="G90">
        <v>650</v>
      </c>
      <c r="H90">
        <v>2</v>
      </c>
      <c r="I90" t="s">
        <v>21</v>
      </c>
      <c r="J90">
        <v>25</v>
      </c>
      <c r="K90">
        <v>1</v>
      </c>
      <c r="L90">
        <v>1</v>
      </c>
      <c r="M90">
        <v>32</v>
      </c>
      <c r="N90">
        <v>-1</v>
      </c>
      <c r="O90">
        <v>20000</v>
      </c>
      <c r="P90" s="2">
        <v>60</v>
      </c>
      <c r="Q90">
        <v>6.7649999999999997</v>
      </c>
      <c r="R90">
        <v>4.5</v>
      </c>
      <c r="S90">
        <v>0.73</v>
      </c>
      <c r="T90">
        <v>0.61625969192544583</v>
      </c>
      <c r="U90" s="11">
        <f t="shared" si="2"/>
        <v>18929.022928730108</v>
      </c>
      <c r="V90" s="7"/>
      <c r="W90" s="7">
        <f t="shared" si="3"/>
        <v>6.5245993263099976E-7</v>
      </c>
    </row>
    <row r="91" spans="1:23" x14ac:dyDescent="0.3">
      <c r="A91" t="s">
        <v>7</v>
      </c>
      <c r="B91" t="s">
        <v>19</v>
      </c>
      <c r="C91" s="2" t="s">
        <v>13</v>
      </c>
      <c r="D91">
        <v>900</v>
      </c>
      <c r="E91">
        <v>102</v>
      </c>
      <c r="F91">
        <v>2</v>
      </c>
      <c r="G91">
        <v>25</v>
      </c>
      <c r="H91">
        <v>1</v>
      </c>
      <c r="I91" t="s">
        <v>21</v>
      </c>
      <c r="J91">
        <v>25</v>
      </c>
      <c r="K91">
        <v>1</v>
      </c>
      <c r="L91">
        <v>0</v>
      </c>
      <c r="M91">
        <v>32</v>
      </c>
      <c r="N91">
        <v>-1</v>
      </c>
      <c r="O91">
        <v>10000000</v>
      </c>
      <c r="P91" s="2">
        <v>400</v>
      </c>
      <c r="Q91">
        <v>6.7649999999999997</v>
      </c>
      <c r="R91">
        <v>4.5</v>
      </c>
      <c r="S91">
        <v>0.73</v>
      </c>
      <c r="T91">
        <v>0.61625969192544583</v>
      </c>
      <c r="U91" s="11">
        <f t="shared" si="2"/>
        <v>9464511.4643650539</v>
      </c>
      <c r="V91" s="7"/>
      <c r="W91" s="7">
        <f t="shared" si="3"/>
        <v>6.9461288534764957E-7</v>
      </c>
    </row>
    <row r="92" spans="1:23" x14ac:dyDescent="0.3">
      <c r="A92" t="s">
        <v>22</v>
      </c>
      <c r="B92" t="s">
        <v>139</v>
      </c>
      <c r="C92" s="2" t="s">
        <v>9</v>
      </c>
      <c r="D92">
        <v>25</v>
      </c>
      <c r="E92">
        <v>76</v>
      </c>
      <c r="F92">
        <v>2</v>
      </c>
      <c r="G92">
        <v>970</v>
      </c>
      <c r="H92">
        <v>2</v>
      </c>
      <c r="I92" t="s">
        <v>21</v>
      </c>
      <c r="J92">
        <v>25</v>
      </c>
      <c r="K92">
        <v>1</v>
      </c>
      <c r="L92">
        <v>0</v>
      </c>
      <c r="M92">
        <v>2</v>
      </c>
      <c r="N92">
        <v>0.1</v>
      </c>
      <c r="O92">
        <v>17715</v>
      </c>
      <c r="P92" s="2">
        <v>890</v>
      </c>
      <c r="Q92">
        <v>6.1400000000000006</v>
      </c>
      <c r="R92">
        <v>5.98</v>
      </c>
      <c r="S92">
        <v>7.9000000000000015E-2</v>
      </c>
      <c r="T92">
        <v>0.82690646551801739</v>
      </c>
      <c r="U92" s="11">
        <f t="shared" si="2"/>
        <v>17008.03370528881</v>
      </c>
      <c r="V92" s="7"/>
      <c r="W92" s="7">
        <f t="shared" si="3"/>
        <v>7.1318914739632028E-7</v>
      </c>
    </row>
    <row r="93" spans="1:23" x14ac:dyDescent="0.3">
      <c r="A93" t="s">
        <v>23</v>
      </c>
      <c r="B93" t="s">
        <v>139</v>
      </c>
      <c r="C93" s="2" t="s">
        <v>9</v>
      </c>
      <c r="D93">
        <v>25</v>
      </c>
      <c r="E93">
        <v>76</v>
      </c>
      <c r="F93">
        <v>2</v>
      </c>
      <c r="G93">
        <v>1080</v>
      </c>
      <c r="H93">
        <v>2</v>
      </c>
      <c r="I93" t="s">
        <v>21</v>
      </c>
      <c r="J93">
        <v>25</v>
      </c>
      <c r="K93">
        <v>1</v>
      </c>
      <c r="L93">
        <v>0</v>
      </c>
      <c r="M93">
        <v>2</v>
      </c>
      <c r="N93">
        <v>0.1</v>
      </c>
      <c r="O93">
        <v>4934</v>
      </c>
      <c r="P93" s="2">
        <v>500</v>
      </c>
      <c r="Q93">
        <v>10.15</v>
      </c>
      <c r="R93">
        <v>4.7</v>
      </c>
      <c r="S93">
        <v>0.06</v>
      </c>
      <c r="T93">
        <v>1.0099075945242479</v>
      </c>
      <c r="U93" s="11">
        <f t="shared" si="2"/>
        <v>4772.7753484746272</v>
      </c>
      <c r="V93" s="7"/>
      <c r="W93" s="7">
        <f t="shared" si="3"/>
        <v>6.9974671095948523E-7</v>
      </c>
    </row>
    <row r="94" spans="1:23" x14ac:dyDescent="0.3">
      <c r="A94" t="s">
        <v>23</v>
      </c>
      <c r="B94" t="s">
        <v>139</v>
      </c>
      <c r="C94" s="2" t="s">
        <v>4</v>
      </c>
      <c r="D94">
        <v>25</v>
      </c>
      <c r="E94">
        <v>76</v>
      </c>
      <c r="F94">
        <v>2</v>
      </c>
      <c r="G94">
        <v>1025</v>
      </c>
      <c r="H94">
        <v>2</v>
      </c>
      <c r="I94" t="s">
        <v>21</v>
      </c>
      <c r="J94">
        <v>700</v>
      </c>
      <c r="K94">
        <v>2</v>
      </c>
      <c r="L94">
        <v>0</v>
      </c>
      <c r="M94">
        <v>2</v>
      </c>
      <c r="N94">
        <v>0.1</v>
      </c>
      <c r="O94">
        <v>8894</v>
      </c>
      <c r="P94" s="2">
        <v>500</v>
      </c>
      <c r="Q94">
        <v>10.15</v>
      </c>
      <c r="R94">
        <v>4.7</v>
      </c>
      <c r="S94">
        <v>0.06</v>
      </c>
      <c r="T94">
        <v>0.96022466747650492</v>
      </c>
      <c r="U94" s="11">
        <f t="shared" si="2"/>
        <v>8588.3402831221465</v>
      </c>
      <c r="V94" s="7"/>
      <c r="W94" s="7">
        <f t="shared" si="3"/>
        <v>6.9974671095948523E-7</v>
      </c>
    </row>
    <row r="95" spans="1:23" x14ac:dyDescent="0.3">
      <c r="A95" t="s">
        <v>23</v>
      </c>
      <c r="B95" t="s">
        <v>139</v>
      </c>
      <c r="C95" s="2" t="s">
        <v>9</v>
      </c>
      <c r="D95">
        <v>25</v>
      </c>
      <c r="E95">
        <v>76</v>
      </c>
      <c r="F95">
        <v>2</v>
      </c>
      <c r="G95">
        <v>1025</v>
      </c>
      <c r="H95">
        <v>2</v>
      </c>
      <c r="I95" t="s">
        <v>21</v>
      </c>
      <c r="J95">
        <v>25</v>
      </c>
      <c r="K95">
        <v>2</v>
      </c>
      <c r="L95">
        <v>0</v>
      </c>
      <c r="M95">
        <v>2</v>
      </c>
      <c r="N95">
        <v>0.1</v>
      </c>
      <c r="O95">
        <v>6004</v>
      </c>
      <c r="P95" s="2">
        <v>500</v>
      </c>
      <c r="Q95">
        <v>10.15</v>
      </c>
      <c r="R95">
        <v>4.7</v>
      </c>
      <c r="S95">
        <v>0.06</v>
      </c>
      <c r="T95">
        <v>0.96022466747650492</v>
      </c>
      <c r="U95" s="11">
        <f t="shared" si="2"/>
        <v>5797.6607892810171</v>
      </c>
      <c r="V95" s="7"/>
      <c r="W95" s="7">
        <f t="shared" si="3"/>
        <v>6.9974671095948523E-7</v>
      </c>
    </row>
    <row r="96" spans="1:23" x14ac:dyDescent="0.3">
      <c r="A96" t="s">
        <v>24</v>
      </c>
      <c r="B96" t="s">
        <v>139</v>
      </c>
      <c r="C96" s="2" t="s">
        <v>9</v>
      </c>
      <c r="D96">
        <v>25</v>
      </c>
      <c r="E96">
        <v>76</v>
      </c>
      <c r="F96">
        <v>2</v>
      </c>
      <c r="G96">
        <v>950</v>
      </c>
      <c r="H96">
        <v>25</v>
      </c>
      <c r="I96" t="s">
        <v>21</v>
      </c>
      <c r="J96">
        <v>25</v>
      </c>
      <c r="K96">
        <v>2</v>
      </c>
      <c r="L96">
        <v>0</v>
      </c>
      <c r="M96">
        <v>2</v>
      </c>
      <c r="N96">
        <v>0.1</v>
      </c>
      <c r="O96">
        <v>9998</v>
      </c>
      <c r="P96" s="2">
        <v>245</v>
      </c>
      <c r="Q96">
        <v>5.83</v>
      </c>
      <c r="R96">
        <v>0</v>
      </c>
      <c r="S96">
        <v>0.15000000000000002</v>
      </c>
      <c r="T96">
        <v>0.55155985711064381</v>
      </c>
      <c r="U96" s="11">
        <f t="shared" si="2"/>
        <v>9399.8165104901491</v>
      </c>
      <c r="V96" s="7"/>
      <c r="W96" s="7">
        <f t="shared" si="3"/>
        <v>6.8346666351917972E-7</v>
      </c>
    </row>
    <row r="97" spans="1:23" x14ac:dyDescent="0.3">
      <c r="A97" t="s">
        <v>25</v>
      </c>
      <c r="B97" t="s">
        <v>139</v>
      </c>
      <c r="C97" s="2" t="s">
        <v>9</v>
      </c>
      <c r="D97">
        <v>25</v>
      </c>
      <c r="E97">
        <v>76</v>
      </c>
      <c r="F97">
        <v>2</v>
      </c>
      <c r="G97">
        <v>700</v>
      </c>
      <c r="H97">
        <v>1</v>
      </c>
      <c r="I97" t="s">
        <v>21</v>
      </c>
      <c r="J97">
        <v>25</v>
      </c>
      <c r="K97">
        <v>2</v>
      </c>
      <c r="L97">
        <v>0</v>
      </c>
      <c r="M97">
        <v>2</v>
      </c>
      <c r="N97">
        <v>0.1</v>
      </c>
      <c r="O97">
        <v>9000</v>
      </c>
      <c r="P97" s="2">
        <v>193</v>
      </c>
      <c r="Q97">
        <v>4.5000000000000005E-2</v>
      </c>
      <c r="R97">
        <v>0</v>
      </c>
      <c r="S97">
        <v>8.5000000000000006E-2</v>
      </c>
      <c r="T97">
        <v>0.55433472152583729</v>
      </c>
      <c r="U97" s="11">
        <f t="shared" si="2"/>
        <v>8464.2226285546567</v>
      </c>
      <c r="V97" s="7"/>
      <c r="W97" s="7">
        <f t="shared" si="3"/>
        <v>6.7810703015184315E-7</v>
      </c>
    </row>
    <row r="98" spans="1:23" x14ac:dyDescent="0.3">
      <c r="A98" t="s">
        <v>26</v>
      </c>
      <c r="B98" t="s">
        <v>139</v>
      </c>
      <c r="C98" s="2" t="s">
        <v>9</v>
      </c>
      <c r="D98">
        <v>25</v>
      </c>
      <c r="E98">
        <v>76</v>
      </c>
      <c r="F98">
        <v>2</v>
      </c>
      <c r="G98">
        <v>750</v>
      </c>
      <c r="H98">
        <v>1</v>
      </c>
      <c r="I98" t="s">
        <v>21</v>
      </c>
      <c r="J98">
        <v>25</v>
      </c>
      <c r="K98">
        <v>2</v>
      </c>
      <c r="L98">
        <v>0</v>
      </c>
      <c r="M98">
        <v>2</v>
      </c>
      <c r="N98">
        <v>0.1</v>
      </c>
      <c r="O98">
        <v>6000</v>
      </c>
      <c r="P98" s="2">
        <v>290</v>
      </c>
      <c r="Q98">
        <v>0.04</v>
      </c>
      <c r="R98">
        <v>0</v>
      </c>
      <c r="S98">
        <v>0.55500000000000005</v>
      </c>
      <c r="T98">
        <v>0.55433472152583729</v>
      </c>
      <c r="U98" s="11">
        <f t="shared" si="2"/>
        <v>5642.8150857031042</v>
      </c>
      <c r="V98" s="7"/>
      <c r="W98" s="7">
        <f t="shared" si="3"/>
        <v>6.8728044876453785E-7</v>
      </c>
    </row>
    <row r="99" spans="1:23" x14ac:dyDescent="0.3">
      <c r="A99" t="s">
        <v>27</v>
      </c>
      <c r="B99" t="s">
        <v>139</v>
      </c>
      <c r="C99" s="2" t="s">
        <v>4</v>
      </c>
      <c r="D99">
        <v>25</v>
      </c>
      <c r="E99">
        <v>76</v>
      </c>
      <c r="F99">
        <v>2</v>
      </c>
      <c r="G99">
        <v>1050</v>
      </c>
      <c r="H99">
        <v>0.5</v>
      </c>
      <c r="I99" t="s">
        <v>21</v>
      </c>
      <c r="J99">
        <v>625</v>
      </c>
      <c r="K99">
        <v>2</v>
      </c>
      <c r="L99">
        <v>0</v>
      </c>
      <c r="M99">
        <v>2</v>
      </c>
      <c r="N99">
        <v>0.1</v>
      </c>
      <c r="O99">
        <v>13150</v>
      </c>
      <c r="P99" s="2">
        <v>550</v>
      </c>
      <c r="Q99">
        <v>9.2000000000000011</v>
      </c>
      <c r="R99">
        <v>4.25</v>
      </c>
      <c r="S99">
        <v>0</v>
      </c>
      <c r="T99">
        <v>0.95901778328633924</v>
      </c>
      <c r="U99" s="11">
        <f t="shared" si="2"/>
        <v>12697.505783977278</v>
      </c>
      <c r="V99" s="7"/>
      <c r="W99" s="7">
        <f t="shared" si="3"/>
        <v>7.0195104421605871E-7</v>
      </c>
    </row>
    <row r="100" spans="1:23" x14ac:dyDescent="0.3">
      <c r="A100" t="s">
        <v>28</v>
      </c>
      <c r="B100" t="s">
        <v>139</v>
      </c>
      <c r="C100" s="2" t="s">
        <v>4</v>
      </c>
      <c r="D100">
        <v>25</v>
      </c>
      <c r="E100">
        <v>76</v>
      </c>
      <c r="F100">
        <v>2</v>
      </c>
      <c r="G100">
        <v>900</v>
      </c>
      <c r="H100">
        <v>2</v>
      </c>
      <c r="I100" t="s">
        <v>21</v>
      </c>
      <c r="J100">
        <v>785</v>
      </c>
      <c r="K100">
        <v>2</v>
      </c>
      <c r="L100">
        <v>0</v>
      </c>
      <c r="M100">
        <v>2</v>
      </c>
      <c r="N100">
        <v>0.1</v>
      </c>
      <c r="O100">
        <v>13359</v>
      </c>
      <c r="P100" s="2">
        <v>552</v>
      </c>
      <c r="Q100">
        <v>8.24</v>
      </c>
      <c r="R100">
        <v>6</v>
      </c>
      <c r="S100">
        <v>0.19</v>
      </c>
      <c r="T100">
        <v>0.91900489211114056</v>
      </c>
      <c r="U100" s="11">
        <f t="shared" si="2"/>
        <v>12879.299615612181</v>
      </c>
      <c r="V100" s="7"/>
      <c r="W100" s="7">
        <f t="shared" si="3"/>
        <v>7.0203513059461106E-7</v>
      </c>
    </row>
    <row r="101" spans="1:23" x14ac:dyDescent="0.3">
      <c r="A101" t="s">
        <v>29</v>
      </c>
      <c r="B101" t="s">
        <v>139</v>
      </c>
      <c r="C101" s="2" t="s">
        <v>4</v>
      </c>
      <c r="D101">
        <v>25</v>
      </c>
      <c r="E101">
        <v>76</v>
      </c>
      <c r="F101">
        <v>2</v>
      </c>
      <c r="G101">
        <v>1050</v>
      </c>
      <c r="H101">
        <v>0.5</v>
      </c>
      <c r="I101" t="s">
        <v>21</v>
      </c>
      <c r="J101">
        <v>550</v>
      </c>
      <c r="K101">
        <v>24</v>
      </c>
      <c r="L101">
        <v>0</v>
      </c>
      <c r="M101">
        <v>2</v>
      </c>
      <c r="N101">
        <v>0.1</v>
      </c>
      <c r="O101">
        <v>7000</v>
      </c>
      <c r="P101" s="2">
        <v>570</v>
      </c>
      <c r="Q101">
        <v>6.2</v>
      </c>
      <c r="R101">
        <v>5.5</v>
      </c>
      <c r="S101">
        <v>0</v>
      </c>
      <c r="T101">
        <v>0.75331524513017734</v>
      </c>
      <c r="U101" s="11">
        <f t="shared" si="2"/>
        <v>6693.355469050568</v>
      </c>
      <c r="V101" s="7"/>
      <c r="W101" s="7">
        <f t="shared" si="3"/>
        <v>7.0277891942464614E-7</v>
      </c>
    </row>
    <row r="102" spans="1:23" x14ac:dyDescent="0.3">
      <c r="A102" t="s">
        <v>30</v>
      </c>
      <c r="B102" t="s">
        <v>139</v>
      </c>
      <c r="C102" s="2" t="s">
        <v>4</v>
      </c>
      <c r="D102">
        <v>25</v>
      </c>
      <c r="E102">
        <v>76</v>
      </c>
      <c r="F102">
        <v>2</v>
      </c>
      <c r="G102">
        <v>885</v>
      </c>
      <c r="H102">
        <v>1</v>
      </c>
      <c r="I102" t="s">
        <v>21</v>
      </c>
      <c r="J102">
        <v>595</v>
      </c>
      <c r="K102">
        <v>8</v>
      </c>
      <c r="L102">
        <v>0</v>
      </c>
      <c r="M102">
        <v>2</v>
      </c>
      <c r="N102">
        <v>0.1</v>
      </c>
      <c r="O102">
        <v>9000</v>
      </c>
      <c r="P102" s="2">
        <v>620</v>
      </c>
      <c r="Q102">
        <v>8.15</v>
      </c>
      <c r="R102">
        <v>10</v>
      </c>
      <c r="S102">
        <v>0.23</v>
      </c>
      <c r="T102">
        <v>0.91900489211114056</v>
      </c>
      <c r="U102" s="11">
        <f t="shared" si="2"/>
        <v>8676.8243536574319</v>
      </c>
      <c r="V102" s="7"/>
      <c r="W102" s="7">
        <f t="shared" si="3"/>
        <v>7.04731658140099E-7</v>
      </c>
    </row>
    <row r="103" spans="1:23" x14ac:dyDescent="0.3">
      <c r="A103" t="s">
        <v>30</v>
      </c>
      <c r="B103" t="s">
        <v>139</v>
      </c>
      <c r="C103" s="2" t="s">
        <v>4</v>
      </c>
      <c r="D103">
        <v>25</v>
      </c>
      <c r="E103">
        <v>76</v>
      </c>
      <c r="F103">
        <v>2</v>
      </c>
      <c r="G103">
        <v>985</v>
      </c>
      <c r="H103">
        <v>1</v>
      </c>
      <c r="I103" t="s">
        <v>21</v>
      </c>
      <c r="J103">
        <v>595</v>
      </c>
      <c r="K103">
        <v>1</v>
      </c>
      <c r="L103">
        <v>0</v>
      </c>
      <c r="M103">
        <v>2</v>
      </c>
      <c r="N103">
        <v>0.1</v>
      </c>
      <c r="O103">
        <v>4500</v>
      </c>
      <c r="P103" s="2">
        <v>530</v>
      </c>
      <c r="Q103">
        <v>8.15</v>
      </c>
      <c r="R103">
        <v>10</v>
      </c>
      <c r="S103">
        <v>0.23</v>
      </c>
      <c r="T103">
        <v>0.96655506922882428</v>
      </c>
      <c r="U103" s="11">
        <f t="shared" si="2"/>
        <v>4346.3615734605974</v>
      </c>
      <c r="V103" s="7"/>
      <c r="W103" s="7">
        <f t="shared" si="3"/>
        <v>7.0109353016105535E-7</v>
      </c>
    </row>
    <row r="104" spans="1:23" x14ac:dyDescent="0.3">
      <c r="A104" t="s">
        <v>31</v>
      </c>
      <c r="B104" t="s">
        <v>139</v>
      </c>
      <c r="C104" s="2" t="s">
        <v>4</v>
      </c>
      <c r="D104">
        <v>25</v>
      </c>
      <c r="E104">
        <v>76</v>
      </c>
      <c r="F104">
        <v>2</v>
      </c>
      <c r="G104">
        <v>900</v>
      </c>
      <c r="H104">
        <v>2</v>
      </c>
      <c r="I104" t="s">
        <v>21</v>
      </c>
      <c r="J104">
        <v>785</v>
      </c>
      <c r="K104">
        <v>2</v>
      </c>
      <c r="L104">
        <v>0</v>
      </c>
      <c r="M104">
        <v>2</v>
      </c>
      <c r="N104">
        <v>0.1</v>
      </c>
      <c r="O104">
        <v>6300</v>
      </c>
      <c r="P104" s="2">
        <v>540</v>
      </c>
      <c r="Q104">
        <v>8</v>
      </c>
      <c r="R104">
        <v>6</v>
      </c>
      <c r="S104">
        <v>0</v>
      </c>
      <c r="T104">
        <v>0.91900489211114056</v>
      </c>
      <c r="U104" s="11">
        <f t="shared" si="2"/>
        <v>6073.7770475602019</v>
      </c>
      <c r="V104" s="7"/>
      <c r="W104" s="7">
        <f t="shared" si="3"/>
        <v>7.0152612637489846E-7</v>
      </c>
    </row>
    <row r="105" spans="1:23" x14ac:dyDescent="0.3">
      <c r="A105" t="s">
        <v>31</v>
      </c>
      <c r="B105" t="s">
        <v>139</v>
      </c>
      <c r="C105" s="2" t="s">
        <v>4</v>
      </c>
      <c r="D105">
        <v>25</v>
      </c>
      <c r="E105">
        <v>76</v>
      </c>
      <c r="F105">
        <v>2</v>
      </c>
      <c r="G105">
        <v>900</v>
      </c>
      <c r="H105">
        <v>2</v>
      </c>
      <c r="I105" t="s">
        <v>21</v>
      </c>
      <c r="J105">
        <v>785</v>
      </c>
      <c r="K105">
        <v>200</v>
      </c>
      <c r="L105">
        <v>0</v>
      </c>
      <c r="M105">
        <v>2</v>
      </c>
      <c r="N105">
        <v>0.1</v>
      </c>
      <c r="O105">
        <v>8765</v>
      </c>
      <c r="P105" s="2">
        <v>535</v>
      </c>
      <c r="Q105">
        <v>8</v>
      </c>
      <c r="R105">
        <v>6</v>
      </c>
      <c r="S105">
        <v>0</v>
      </c>
      <c r="T105">
        <v>0.91900489211114056</v>
      </c>
      <c r="U105" s="11">
        <f t="shared" si="2"/>
        <v>8450.2628288674878</v>
      </c>
      <c r="V105" s="7"/>
      <c r="W105" s="7">
        <f t="shared" si="3"/>
        <v>7.0131080566686891E-7</v>
      </c>
    </row>
    <row r="106" spans="1:23" x14ac:dyDescent="0.3">
      <c r="A106" t="s">
        <v>23</v>
      </c>
      <c r="B106" t="s">
        <v>139</v>
      </c>
      <c r="C106" s="2" t="s">
        <v>9</v>
      </c>
      <c r="D106">
        <v>25</v>
      </c>
      <c r="E106">
        <v>76</v>
      </c>
      <c r="F106">
        <v>2</v>
      </c>
      <c r="G106">
        <v>1080</v>
      </c>
      <c r="H106">
        <v>1</v>
      </c>
      <c r="I106" t="s">
        <v>21</v>
      </c>
      <c r="J106">
        <v>25</v>
      </c>
      <c r="K106">
        <v>2</v>
      </c>
      <c r="L106">
        <v>0</v>
      </c>
      <c r="M106">
        <v>2</v>
      </c>
      <c r="N106">
        <v>0.1</v>
      </c>
      <c r="O106">
        <v>5998</v>
      </c>
      <c r="P106" s="2">
        <v>500</v>
      </c>
      <c r="Q106">
        <v>10.15</v>
      </c>
      <c r="R106">
        <v>4.7</v>
      </c>
      <c r="S106">
        <v>0.06</v>
      </c>
      <c r="T106">
        <v>1.0954176590415481</v>
      </c>
      <c r="U106" s="11">
        <f t="shared" si="2"/>
        <v>5817.3072766663399</v>
      </c>
      <c r="V106" s="7"/>
      <c r="W106" s="7">
        <f t="shared" si="3"/>
        <v>6.9974671095948523E-7</v>
      </c>
    </row>
    <row r="107" spans="1:23" x14ac:dyDescent="0.3">
      <c r="A107" t="s">
        <v>23</v>
      </c>
      <c r="B107" t="s">
        <v>139</v>
      </c>
      <c r="C107" s="2" t="s">
        <v>9</v>
      </c>
      <c r="D107">
        <v>25</v>
      </c>
      <c r="E107">
        <v>76</v>
      </c>
      <c r="F107">
        <v>2</v>
      </c>
      <c r="G107">
        <v>1030</v>
      </c>
      <c r="H107">
        <v>1</v>
      </c>
      <c r="I107" t="s">
        <v>21</v>
      </c>
      <c r="J107">
        <v>25</v>
      </c>
      <c r="K107">
        <v>2</v>
      </c>
      <c r="L107">
        <v>0</v>
      </c>
      <c r="M107">
        <v>2</v>
      </c>
      <c r="N107">
        <v>0.1</v>
      </c>
      <c r="O107">
        <v>2500</v>
      </c>
      <c r="P107" s="2">
        <v>500</v>
      </c>
      <c r="Q107">
        <v>10.15</v>
      </c>
      <c r="R107">
        <v>4.7</v>
      </c>
      <c r="S107">
        <v>0.06</v>
      </c>
      <c r="T107">
        <v>1.0990496935708529</v>
      </c>
      <c r="U107" s="11">
        <f t="shared" si="2"/>
        <v>2424.9351503552539</v>
      </c>
      <c r="V107" s="7"/>
      <c r="W107" s="7">
        <f t="shared" si="3"/>
        <v>6.9974671095948523E-7</v>
      </c>
    </row>
    <row r="108" spans="1:23" x14ac:dyDescent="0.3">
      <c r="A108" t="s">
        <v>23</v>
      </c>
      <c r="B108" t="s">
        <v>139</v>
      </c>
      <c r="C108" s="2" t="s">
        <v>4</v>
      </c>
      <c r="D108">
        <v>25</v>
      </c>
      <c r="E108">
        <v>76</v>
      </c>
      <c r="F108">
        <v>2</v>
      </c>
      <c r="G108">
        <v>1030</v>
      </c>
      <c r="H108">
        <v>1</v>
      </c>
      <c r="I108" t="s">
        <v>21</v>
      </c>
      <c r="J108">
        <v>800</v>
      </c>
      <c r="K108">
        <v>1</v>
      </c>
      <c r="L108">
        <v>0</v>
      </c>
      <c r="M108">
        <v>2</v>
      </c>
      <c r="N108">
        <v>0.1</v>
      </c>
      <c r="O108">
        <v>6895</v>
      </c>
      <c r="P108" s="2">
        <v>500</v>
      </c>
      <c r="Q108">
        <v>10.15</v>
      </c>
      <c r="R108">
        <v>4.7</v>
      </c>
      <c r="S108">
        <v>0.06</v>
      </c>
      <c r="T108">
        <v>0.84067843814524923</v>
      </c>
      <c r="U108" s="11">
        <f t="shared" si="2"/>
        <v>6624.3435995551399</v>
      </c>
      <c r="V108" s="7"/>
      <c r="W108" s="7">
        <f t="shared" si="3"/>
        <v>6.9974671095948523E-7</v>
      </c>
    </row>
    <row r="109" spans="1:23" x14ac:dyDescent="0.3">
      <c r="A109" t="s">
        <v>23</v>
      </c>
      <c r="B109" t="s">
        <v>139</v>
      </c>
      <c r="C109" s="2" t="s">
        <v>4</v>
      </c>
      <c r="D109">
        <v>25</v>
      </c>
      <c r="E109">
        <v>76</v>
      </c>
      <c r="F109">
        <v>2</v>
      </c>
      <c r="G109">
        <v>1030</v>
      </c>
      <c r="H109">
        <v>1</v>
      </c>
      <c r="I109" t="s">
        <v>21</v>
      </c>
      <c r="J109">
        <v>1000</v>
      </c>
      <c r="K109">
        <v>1</v>
      </c>
      <c r="L109">
        <v>0</v>
      </c>
      <c r="M109">
        <v>2</v>
      </c>
      <c r="N109">
        <v>0.1</v>
      </c>
      <c r="O109">
        <v>7000</v>
      </c>
      <c r="P109" s="2">
        <v>500</v>
      </c>
      <c r="Q109">
        <v>10.15</v>
      </c>
      <c r="R109">
        <v>4.7</v>
      </c>
      <c r="S109">
        <v>0.06</v>
      </c>
      <c r="T109">
        <v>1.0099075945242479</v>
      </c>
      <c r="U109" s="11">
        <f t="shared" si="2"/>
        <v>6771.2662017272778</v>
      </c>
      <c r="V109" s="7"/>
      <c r="W109" s="7">
        <f t="shared" si="3"/>
        <v>6.9974671095948523E-7</v>
      </c>
    </row>
    <row r="110" spans="1:23" x14ac:dyDescent="0.3">
      <c r="A110" t="s">
        <v>31</v>
      </c>
      <c r="B110" t="s">
        <v>139</v>
      </c>
      <c r="C110" s="2" t="s">
        <v>4</v>
      </c>
      <c r="D110">
        <v>25</v>
      </c>
      <c r="E110">
        <v>76</v>
      </c>
      <c r="F110">
        <v>2</v>
      </c>
      <c r="G110">
        <v>25</v>
      </c>
      <c r="H110">
        <v>2</v>
      </c>
      <c r="I110" t="s">
        <v>21</v>
      </c>
      <c r="J110">
        <v>595</v>
      </c>
      <c r="K110">
        <v>8</v>
      </c>
      <c r="L110">
        <v>0</v>
      </c>
      <c r="M110">
        <v>2</v>
      </c>
      <c r="N110">
        <v>0</v>
      </c>
      <c r="O110">
        <v>10000</v>
      </c>
      <c r="P110" s="2">
        <v>400</v>
      </c>
      <c r="Q110">
        <v>8.1</v>
      </c>
      <c r="R110">
        <v>6</v>
      </c>
      <c r="S110">
        <v>0</v>
      </c>
      <c r="T110">
        <v>0.95917011249040085</v>
      </c>
      <c r="U110" s="11">
        <f t="shared" si="2"/>
        <v>9655.952582651702</v>
      </c>
      <c r="V110" s="7"/>
      <c r="W110" s="7">
        <f t="shared" si="3"/>
        <v>6.9461288534764957E-7</v>
      </c>
    </row>
    <row r="111" spans="1:23" x14ac:dyDescent="0.3">
      <c r="A111" t="s">
        <v>32</v>
      </c>
      <c r="B111" t="s">
        <v>139</v>
      </c>
      <c r="C111" s="2" t="s">
        <v>4</v>
      </c>
      <c r="D111">
        <v>25</v>
      </c>
      <c r="E111">
        <v>76</v>
      </c>
      <c r="F111">
        <v>2</v>
      </c>
      <c r="G111">
        <v>25</v>
      </c>
      <c r="H111">
        <v>2</v>
      </c>
      <c r="I111" t="s">
        <v>21</v>
      </c>
      <c r="J111">
        <v>595</v>
      </c>
      <c r="K111">
        <v>8</v>
      </c>
      <c r="L111">
        <v>0</v>
      </c>
      <c r="M111">
        <v>2</v>
      </c>
      <c r="N111">
        <v>0</v>
      </c>
      <c r="O111">
        <v>10000</v>
      </c>
      <c r="P111" s="2">
        <v>394</v>
      </c>
      <c r="Q111">
        <v>8.1</v>
      </c>
      <c r="R111">
        <v>6</v>
      </c>
      <c r="S111">
        <v>0</v>
      </c>
      <c r="T111">
        <v>0.95917011249040085</v>
      </c>
      <c r="U111" s="11">
        <f t="shared" si="2"/>
        <v>9655.952582651702</v>
      </c>
      <c r="V111" s="7"/>
      <c r="W111" s="7">
        <f t="shared" si="3"/>
        <v>6.9426653351660328E-7</v>
      </c>
    </row>
    <row r="112" spans="1:23" x14ac:dyDescent="0.3">
      <c r="A112" t="s">
        <v>33</v>
      </c>
      <c r="B112" t="s">
        <v>139</v>
      </c>
      <c r="C112" s="2" t="s">
        <v>4</v>
      </c>
      <c r="D112">
        <v>25</v>
      </c>
      <c r="E112">
        <v>76</v>
      </c>
      <c r="F112">
        <v>2</v>
      </c>
      <c r="G112">
        <v>25</v>
      </c>
      <c r="H112">
        <v>2</v>
      </c>
      <c r="I112" t="s">
        <v>21</v>
      </c>
      <c r="J112">
        <v>595</v>
      </c>
      <c r="K112">
        <v>8</v>
      </c>
      <c r="L112">
        <v>0</v>
      </c>
      <c r="M112">
        <v>2</v>
      </c>
      <c r="N112">
        <v>0</v>
      </c>
      <c r="O112">
        <v>10000</v>
      </c>
      <c r="P112" s="2">
        <v>400</v>
      </c>
      <c r="Q112">
        <v>8.1</v>
      </c>
      <c r="R112">
        <v>6</v>
      </c>
      <c r="S112">
        <v>0</v>
      </c>
      <c r="T112">
        <v>0.95917011249040085</v>
      </c>
      <c r="U112" s="11">
        <f t="shared" si="2"/>
        <v>9655.952582651702</v>
      </c>
      <c r="V112" s="7"/>
      <c r="W112" s="7">
        <f t="shared" si="3"/>
        <v>6.9461288534764957E-7</v>
      </c>
    </row>
    <row r="113" spans="1:23" x14ac:dyDescent="0.3">
      <c r="A113" t="s">
        <v>34</v>
      </c>
      <c r="B113" t="s">
        <v>139</v>
      </c>
      <c r="C113" s="2" t="s">
        <v>4</v>
      </c>
      <c r="D113">
        <v>25</v>
      </c>
      <c r="E113">
        <v>76</v>
      </c>
      <c r="F113">
        <v>2</v>
      </c>
      <c r="G113">
        <v>25</v>
      </c>
      <c r="H113">
        <v>2</v>
      </c>
      <c r="I113" t="s">
        <v>21</v>
      </c>
      <c r="J113">
        <v>600</v>
      </c>
      <c r="K113">
        <v>4</v>
      </c>
      <c r="L113">
        <v>0</v>
      </c>
      <c r="M113">
        <v>2</v>
      </c>
      <c r="N113">
        <v>0</v>
      </c>
      <c r="O113">
        <v>10000</v>
      </c>
      <c r="P113" s="2">
        <v>400</v>
      </c>
      <c r="Q113">
        <v>9.120000000000001</v>
      </c>
      <c r="R113">
        <v>3.83</v>
      </c>
      <c r="S113">
        <v>0.1406</v>
      </c>
      <c r="T113">
        <v>0.56079011098986997</v>
      </c>
      <c r="U113" s="11">
        <f t="shared" si="2"/>
        <v>9411.5445448609898</v>
      </c>
      <c r="V113" s="7"/>
      <c r="W113" s="7">
        <f t="shared" si="3"/>
        <v>6.9461288534764957E-7</v>
      </c>
    </row>
    <row r="114" spans="1:23" x14ac:dyDescent="0.3">
      <c r="A114" t="s">
        <v>30</v>
      </c>
      <c r="B114" t="s">
        <v>139</v>
      </c>
      <c r="C114" s="2" t="s">
        <v>4</v>
      </c>
      <c r="D114">
        <v>25</v>
      </c>
      <c r="E114">
        <v>76</v>
      </c>
      <c r="F114">
        <v>2</v>
      </c>
      <c r="G114">
        <v>25</v>
      </c>
      <c r="H114">
        <v>2</v>
      </c>
      <c r="I114" t="s">
        <v>21</v>
      </c>
      <c r="J114">
        <v>850</v>
      </c>
      <c r="K114">
        <v>4</v>
      </c>
      <c r="L114">
        <v>0</v>
      </c>
      <c r="M114">
        <v>2</v>
      </c>
      <c r="N114">
        <v>0</v>
      </c>
      <c r="O114">
        <v>10000</v>
      </c>
      <c r="P114" s="2">
        <v>394</v>
      </c>
      <c r="Q114">
        <v>9.120000000000001</v>
      </c>
      <c r="R114">
        <v>3.83</v>
      </c>
      <c r="S114">
        <v>0.1406</v>
      </c>
      <c r="T114">
        <v>0.64232730322787057</v>
      </c>
      <c r="U114" s="11">
        <f t="shared" si="2"/>
        <v>9486.2432309172291</v>
      </c>
      <c r="V114" s="7"/>
      <c r="W114" s="7">
        <f t="shared" si="3"/>
        <v>6.9426653351660328E-7</v>
      </c>
    </row>
    <row r="115" spans="1:23" x14ac:dyDescent="0.3">
      <c r="A115" t="s">
        <v>35</v>
      </c>
      <c r="B115" t="s">
        <v>139</v>
      </c>
      <c r="C115" s="2" t="s">
        <v>4</v>
      </c>
      <c r="D115">
        <v>25</v>
      </c>
      <c r="E115">
        <v>76</v>
      </c>
      <c r="F115">
        <v>2</v>
      </c>
      <c r="G115">
        <v>970</v>
      </c>
      <c r="H115">
        <v>0.5</v>
      </c>
      <c r="I115" t="s">
        <v>21</v>
      </c>
      <c r="J115">
        <v>700</v>
      </c>
      <c r="K115">
        <v>0.5</v>
      </c>
      <c r="L115">
        <v>0</v>
      </c>
      <c r="M115">
        <v>2</v>
      </c>
      <c r="N115">
        <v>-1</v>
      </c>
      <c r="O115">
        <v>27924</v>
      </c>
      <c r="P115" s="2">
        <v>500.68900000000002</v>
      </c>
      <c r="Q115">
        <v>6.42</v>
      </c>
      <c r="R115">
        <v>4.01</v>
      </c>
      <c r="S115">
        <v>0.23100000000000001</v>
      </c>
      <c r="T115">
        <v>0.58980591855772457</v>
      </c>
      <c r="U115" s="11">
        <f t="shared" si="2"/>
        <v>26361.635210149532</v>
      </c>
      <c r="V115" s="7"/>
      <c r="W115" s="7">
        <f t="shared" si="3"/>
        <v>6.9977851005987827E-7</v>
      </c>
    </row>
    <row r="116" spans="1:23" x14ac:dyDescent="0.3">
      <c r="A116" t="s">
        <v>36</v>
      </c>
      <c r="B116" t="s">
        <v>139</v>
      </c>
      <c r="C116" s="2" t="s">
        <v>4</v>
      </c>
      <c r="D116">
        <v>25</v>
      </c>
      <c r="E116">
        <v>76</v>
      </c>
      <c r="F116">
        <v>2</v>
      </c>
      <c r="G116">
        <v>970</v>
      </c>
      <c r="H116">
        <v>0.5</v>
      </c>
      <c r="I116" t="s">
        <v>21</v>
      </c>
      <c r="J116">
        <v>700</v>
      </c>
      <c r="K116">
        <v>0.5</v>
      </c>
      <c r="L116">
        <v>0</v>
      </c>
      <c r="M116">
        <v>2</v>
      </c>
      <c r="N116">
        <v>-1</v>
      </c>
      <c r="O116">
        <v>43568</v>
      </c>
      <c r="P116" s="2">
        <v>459.61399999999998</v>
      </c>
      <c r="Q116">
        <v>6.42</v>
      </c>
      <c r="R116">
        <v>4.01</v>
      </c>
      <c r="S116">
        <v>0.23100000000000001</v>
      </c>
      <c r="T116">
        <v>0.58980591855772457</v>
      </c>
      <c r="U116" s="11">
        <f t="shared" si="2"/>
        <v>41130.343891841956</v>
      </c>
      <c r="V116" s="7"/>
      <c r="W116" s="7">
        <f t="shared" si="3"/>
        <v>6.9780460779774823E-7</v>
      </c>
    </row>
    <row r="117" spans="1:23" x14ac:dyDescent="0.3">
      <c r="A117" t="s">
        <v>37</v>
      </c>
      <c r="B117" t="s">
        <v>139</v>
      </c>
      <c r="C117" s="2" t="s">
        <v>4</v>
      </c>
      <c r="D117">
        <v>25</v>
      </c>
      <c r="E117">
        <v>76</v>
      </c>
      <c r="F117">
        <v>2</v>
      </c>
      <c r="G117">
        <v>970</v>
      </c>
      <c r="H117">
        <v>0.5</v>
      </c>
      <c r="I117" t="s">
        <v>21</v>
      </c>
      <c r="J117">
        <v>700</v>
      </c>
      <c r="K117">
        <v>0.5</v>
      </c>
      <c r="L117">
        <v>0</v>
      </c>
      <c r="M117">
        <v>2</v>
      </c>
      <c r="N117">
        <v>-1</v>
      </c>
      <c r="O117">
        <v>52620</v>
      </c>
      <c r="P117" s="2">
        <v>430.93799999999999</v>
      </c>
      <c r="Q117">
        <v>6.42</v>
      </c>
      <c r="R117">
        <v>4.01</v>
      </c>
      <c r="S117">
        <v>0.23100000000000001</v>
      </c>
      <c r="T117">
        <v>0.58980591855772457</v>
      </c>
      <c r="U117" s="11">
        <f t="shared" si="2"/>
        <v>49675.878984317016</v>
      </c>
      <c r="V117" s="7"/>
      <c r="W117" s="7">
        <f t="shared" si="3"/>
        <v>6.963226847179838E-7</v>
      </c>
    </row>
    <row r="118" spans="1:23" x14ac:dyDescent="0.3">
      <c r="A118" t="s">
        <v>38</v>
      </c>
      <c r="B118" t="s">
        <v>139</v>
      </c>
      <c r="C118" s="2" t="s">
        <v>4</v>
      </c>
      <c r="D118">
        <v>25</v>
      </c>
      <c r="E118">
        <v>76</v>
      </c>
      <c r="F118">
        <v>2</v>
      </c>
      <c r="G118">
        <v>970</v>
      </c>
      <c r="H118">
        <v>0.5</v>
      </c>
      <c r="I118" t="s">
        <v>21</v>
      </c>
      <c r="J118">
        <v>700</v>
      </c>
      <c r="K118">
        <v>0.5</v>
      </c>
      <c r="L118">
        <v>0</v>
      </c>
      <c r="M118">
        <v>2</v>
      </c>
      <c r="N118">
        <v>-1</v>
      </c>
      <c r="O118">
        <v>59436</v>
      </c>
      <c r="P118" s="2">
        <v>400.54</v>
      </c>
      <c r="Q118">
        <v>6.42</v>
      </c>
      <c r="R118">
        <v>4.01</v>
      </c>
      <c r="S118">
        <v>0.23100000000000001</v>
      </c>
      <c r="T118">
        <v>0.58980591855772457</v>
      </c>
      <c r="U118" s="11">
        <f t="shared" si="2"/>
        <v>56110.519637245656</v>
      </c>
      <c r="V118" s="7"/>
      <c r="W118" s="7">
        <f t="shared" si="3"/>
        <v>6.9464381017097496E-7</v>
      </c>
    </row>
    <row r="119" spans="1:23" x14ac:dyDescent="0.3">
      <c r="A119" t="s">
        <v>39</v>
      </c>
      <c r="B119" t="s">
        <v>139</v>
      </c>
      <c r="C119" s="2" t="s">
        <v>4</v>
      </c>
      <c r="D119">
        <v>25</v>
      </c>
      <c r="E119">
        <v>76</v>
      </c>
      <c r="F119">
        <v>2</v>
      </c>
      <c r="G119">
        <v>970</v>
      </c>
      <c r="H119">
        <v>0.5</v>
      </c>
      <c r="I119" t="s">
        <v>21</v>
      </c>
      <c r="J119">
        <v>700</v>
      </c>
      <c r="K119">
        <v>0.5</v>
      </c>
      <c r="L119">
        <v>0</v>
      </c>
      <c r="M119">
        <v>2</v>
      </c>
      <c r="N119">
        <v>-1</v>
      </c>
      <c r="O119">
        <v>61671</v>
      </c>
      <c r="P119" s="2">
        <v>369.69</v>
      </c>
      <c r="Q119">
        <v>6.42</v>
      </c>
      <c r="R119">
        <v>4.01</v>
      </c>
      <c r="S119">
        <v>0.23100000000000001</v>
      </c>
      <c r="T119">
        <v>0.58980591855772457</v>
      </c>
      <c r="U119" s="11">
        <f t="shared" si="2"/>
        <v>58220.470027400508</v>
      </c>
      <c r="V119" s="7"/>
      <c r="W119" s="7">
        <f t="shared" si="3"/>
        <v>6.9280896664195651E-7</v>
      </c>
    </row>
    <row r="120" spans="1:23" x14ac:dyDescent="0.3">
      <c r="A120" t="s">
        <v>40</v>
      </c>
      <c r="B120" t="s">
        <v>139</v>
      </c>
      <c r="C120" s="2" t="s">
        <v>4</v>
      </c>
      <c r="D120">
        <v>25</v>
      </c>
      <c r="E120">
        <v>76</v>
      </c>
      <c r="F120">
        <v>2</v>
      </c>
      <c r="G120">
        <v>970</v>
      </c>
      <c r="H120">
        <v>0.5</v>
      </c>
      <c r="I120" t="s">
        <v>21</v>
      </c>
      <c r="J120">
        <v>700</v>
      </c>
      <c r="K120">
        <v>0.5</v>
      </c>
      <c r="L120">
        <v>0</v>
      </c>
      <c r="M120">
        <v>2</v>
      </c>
      <c r="N120">
        <v>-1</v>
      </c>
      <c r="O120">
        <v>99888</v>
      </c>
      <c r="P120" s="2">
        <v>340.71</v>
      </c>
      <c r="Q120">
        <v>6.42</v>
      </c>
      <c r="R120">
        <v>4.01</v>
      </c>
      <c r="S120">
        <v>0.23100000000000001</v>
      </c>
      <c r="T120">
        <v>0.58980591855772457</v>
      </c>
      <c r="U120" s="11">
        <f t="shared" si="2"/>
        <v>94299.205624961207</v>
      </c>
      <c r="V120" s="7"/>
      <c r="W120" s="7">
        <f t="shared" si="3"/>
        <v>6.9094512458622729E-7</v>
      </c>
    </row>
    <row r="121" spans="1:23" x14ac:dyDescent="0.3">
      <c r="A121" t="s">
        <v>41</v>
      </c>
      <c r="B121" t="s">
        <v>139</v>
      </c>
      <c r="C121" s="2" t="s">
        <v>4</v>
      </c>
      <c r="D121">
        <v>25</v>
      </c>
      <c r="E121">
        <v>76</v>
      </c>
      <c r="F121">
        <v>2</v>
      </c>
      <c r="G121">
        <v>25</v>
      </c>
      <c r="H121">
        <v>2</v>
      </c>
      <c r="I121" t="s">
        <v>21</v>
      </c>
      <c r="J121">
        <v>0</v>
      </c>
      <c r="K121">
        <v>0</v>
      </c>
      <c r="L121">
        <v>0</v>
      </c>
      <c r="M121">
        <v>2</v>
      </c>
      <c r="N121">
        <v>-1</v>
      </c>
      <c r="O121">
        <v>100000</v>
      </c>
      <c r="P121" s="2">
        <v>675</v>
      </c>
      <c r="Q121">
        <v>10.149000000000001</v>
      </c>
      <c r="R121">
        <v>4.95</v>
      </c>
      <c r="S121">
        <v>0.1615</v>
      </c>
      <c r="T121">
        <v>1.0039005497071301</v>
      </c>
      <c r="U121" s="11">
        <f t="shared" si="2"/>
        <v>96712.82180195766</v>
      </c>
      <c r="V121" s="7"/>
      <c r="W121" s="7">
        <f t="shared" si="3"/>
        <v>7.0671104717168542E-7</v>
      </c>
    </row>
    <row r="122" spans="1:23" x14ac:dyDescent="0.3">
      <c r="A122" t="s">
        <v>42</v>
      </c>
      <c r="B122" t="s">
        <v>139</v>
      </c>
      <c r="C122" s="2" t="s">
        <v>4</v>
      </c>
      <c r="D122">
        <v>25</v>
      </c>
      <c r="E122">
        <v>76</v>
      </c>
      <c r="F122">
        <v>2</v>
      </c>
      <c r="G122">
        <v>932</v>
      </c>
      <c r="H122">
        <v>0</v>
      </c>
      <c r="I122" t="s">
        <v>21</v>
      </c>
      <c r="J122">
        <v>704</v>
      </c>
      <c r="K122">
        <v>2</v>
      </c>
      <c r="L122">
        <v>0</v>
      </c>
      <c r="M122">
        <v>2</v>
      </c>
      <c r="N122">
        <v>-1</v>
      </c>
      <c r="O122">
        <v>100000</v>
      </c>
      <c r="P122" s="2">
        <v>450</v>
      </c>
      <c r="Q122">
        <v>6.47</v>
      </c>
      <c r="R122">
        <v>4.1900000000000004</v>
      </c>
      <c r="S122">
        <v>0.192</v>
      </c>
      <c r="T122">
        <v>0.56079011098986997</v>
      </c>
      <c r="U122" s="11">
        <f t="shared" si="2"/>
        <v>94115.445448609898</v>
      </c>
      <c r="V122" s="7"/>
      <c r="W122" s="7">
        <f t="shared" si="3"/>
        <v>6.9731798836356995E-7</v>
      </c>
    </row>
    <row r="123" spans="1:23" x14ac:dyDescent="0.3">
      <c r="A123" t="s">
        <v>43</v>
      </c>
      <c r="B123" t="s">
        <v>139</v>
      </c>
      <c r="C123" s="2" t="s">
        <v>4</v>
      </c>
      <c r="D123">
        <v>25</v>
      </c>
      <c r="E123">
        <v>76</v>
      </c>
      <c r="F123">
        <v>2</v>
      </c>
      <c r="G123">
        <v>932</v>
      </c>
      <c r="H123">
        <v>0</v>
      </c>
      <c r="I123" t="s">
        <v>21</v>
      </c>
      <c r="J123">
        <v>704</v>
      </c>
      <c r="K123">
        <v>2</v>
      </c>
      <c r="L123">
        <v>0</v>
      </c>
      <c r="M123">
        <v>2</v>
      </c>
      <c r="N123">
        <v>0.1</v>
      </c>
      <c r="O123">
        <v>100000</v>
      </c>
      <c r="P123" s="2">
        <v>667</v>
      </c>
      <c r="Q123">
        <v>6.47</v>
      </c>
      <c r="R123">
        <v>4.1900000000000004</v>
      </c>
      <c r="S123">
        <v>0.192</v>
      </c>
      <c r="T123">
        <v>0.56079011098986997</v>
      </c>
      <c r="U123" s="11">
        <f t="shared" si="2"/>
        <v>94115.445448609898</v>
      </c>
      <c r="V123" s="7"/>
      <c r="W123" s="7">
        <f t="shared" si="3"/>
        <v>7.0643304832243352E-7</v>
      </c>
    </row>
    <row r="124" spans="1:23" x14ac:dyDescent="0.3">
      <c r="A124" t="s">
        <v>44</v>
      </c>
      <c r="B124" t="s">
        <v>139</v>
      </c>
      <c r="C124" s="2" t="s">
        <v>4</v>
      </c>
      <c r="D124">
        <v>25</v>
      </c>
      <c r="E124">
        <v>76</v>
      </c>
      <c r="F124">
        <v>2</v>
      </c>
      <c r="G124">
        <v>932</v>
      </c>
      <c r="H124">
        <v>0</v>
      </c>
      <c r="I124" t="s">
        <v>21</v>
      </c>
      <c r="J124">
        <v>704</v>
      </c>
      <c r="K124">
        <v>2</v>
      </c>
      <c r="L124">
        <v>0</v>
      </c>
      <c r="M124">
        <v>2</v>
      </c>
      <c r="N124">
        <v>0.5</v>
      </c>
      <c r="O124">
        <v>100000</v>
      </c>
      <c r="P124" s="2">
        <v>860</v>
      </c>
      <c r="Q124">
        <v>6.47</v>
      </c>
      <c r="R124">
        <v>4.1900000000000004</v>
      </c>
      <c r="S124">
        <v>0.192</v>
      </c>
      <c r="T124">
        <v>0.56079011098986997</v>
      </c>
      <c r="U124" s="11">
        <f t="shared" si="2"/>
        <v>94115.445448609898</v>
      </c>
      <c r="V124" s="7"/>
      <c r="W124" s="7">
        <f t="shared" si="3"/>
        <v>7.123826021636268E-7</v>
      </c>
    </row>
    <row r="125" spans="1:23" x14ac:dyDescent="0.3">
      <c r="A125" t="s">
        <v>45</v>
      </c>
      <c r="B125" t="s">
        <v>139</v>
      </c>
      <c r="C125" s="2" t="s">
        <v>4</v>
      </c>
      <c r="D125">
        <v>25</v>
      </c>
      <c r="E125">
        <v>76</v>
      </c>
      <c r="F125">
        <v>2</v>
      </c>
      <c r="G125">
        <v>932</v>
      </c>
      <c r="H125">
        <v>0</v>
      </c>
      <c r="I125" t="s">
        <v>21</v>
      </c>
      <c r="J125">
        <v>704</v>
      </c>
      <c r="K125">
        <v>2</v>
      </c>
      <c r="L125">
        <v>0</v>
      </c>
      <c r="M125">
        <v>2</v>
      </c>
      <c r="N125">
        <v>0.8</v>
      </c>
      <c r="O125">
        <v>100000</v>
      </c>
      <c r="P125" s="2">
        <v>950</v>
      </c>
      <c r="Q125">
        <v>6.47</v>
      </c>
      <c r="R125">
        <v>4.1900000000000004</v>
      </c>
      <c r="S125">
        <v>0.192</v>
      </c>
      <c r="T125">
        <v>0.53784992938427523</v>
      </c>
      <c r="U125" s="11">
        <f t="shared" si="2"/>
        <v>93864.459545848033</v>
      </c>
      <c r="V125" s="7"/>
      <c r="W125" s="7">
        <f t="shared" si="3"/>
        <v>7.1472625290994394E-7</v>
      </c>
    </row>
    <row r="126" spans="1:23" x14ac:dyDescent="0.3">
      <c r="A126" t="s">
        <v>46</v>
      </c>
      <c r="B126" t="s">
        <v>139</v>
      </c>
      <c r="C126" s="2" t="s">
        <v>4</v>
      </c>
      <c r="D126">
        <v>25</v>
      </c>
      <c r="E126">
        <v>76</v>
      </c>
      <c r="F126">
        <v>2</v>
      </c>
      <c r="G126">
        <v>925</v>
      </c>
      <c r="H126">
        <v>1</v>
      </c>
      <c r="I126" t="s">
        <v>21</v>
      </c>
      <c r="J126">
        <v>700</v>
      </c>
      <c r="K126">
        <v>2</v>
      </c>
      <c r="L126">
        <v>0</v>
      </c>
      <c r="M126">
        <v>2</v>
      </c>
      <c r="N126">
        <v>0.1</v>
      </c>
      <c r="O126">
        <v>100000</v>
      </c>
      <c r="P126" s="2">
        <v>700</v>
      </c>
      <c r="Q126">
        <v>6.47</v>
      </c>
      <c r="R126">
        <v>4.1900000000000004</v>
      </c>
      <c r="S126">
        <v>0.1961</v>
      </c>
      <c r="T126">
        <v>0.56079011098986997</v>
      </c>
      <c r="U126" s="11">
        <f t="shared" si="2"/>
        <v>94115.445448609898</v>
      </c>
      <c r="V126" s="7"/>
      <c r="W126" s="7">
        <f t="shared" si="3"/>
        <v>7.0755970304400871E-7</v>
      </c>
    </row>
    <row r="127" spans="1:23" x14ac:dyDescent="0.3">
      <c r="A127" t="s">
        <v>47</v>
      </c>
      <c r="B127" t="s">
        <v>139</v>
      </c>
      <c r="C127" s="2" t="s">
        <v>4</v>
      </c>
      <c r="D127">
        <v>25</v>
      </c>
      <c r="E127">
        <v>76</v>
      </c>
      <c r="F127">
        <v>2</v>
      </c>
      <c r="G127">
        <v>925</v>
      </c>
      <c r="H127">
        <v>1</v>
      </c>
      <c r="I127" t="s">
        <v>21</v>
      </c>
      <c r="J127">
        <v>700</v>
      </c>
      <c r="K127">
        <v>2</v>
      </c>
      <c r="L127">
        <v>0</v>
      </c>
      <c r="M127">
        <v>2</v>
      </c>
      <c r="N127">
        <v>0.5</v>
      </c>
      <c r="O127">
        <v>100000</v>
      </c>
      <c r="P127" s="2">
        <v>850</v>
      </c>
      <c r="Q127">
        <v>6.47</v>
      </c>
      <c r="R127">
        <v>4.1900000000000004</v>
      </c>
      <c r="S127">
        <v>0.1961</v>
      </c>
      <c r="T127">
        <v>0.56079011098986997</v>
      </c>
      <c r="U127" s="11">
        <f t="shared" si="2"/>
        <v>94115.445448609898</v>
      </c>
      <c r="V127" s="7"/>
      <c r="W127" s="7">
        <f t="shared" si="3"/>
        <v>7.1210769739647177E-7</v>
      </c>
    </row>
    <row r="128" spans="1:23" x14ac:dyDescent="0.3">
      <c r="A128" t="s">
        <v>48</v>
      </c>
      <c r="B128" t="s">
        <v>139</v>
      </c>
      <c r="C128" s="2" t="s">
        <v>4</v>
      </c>
      <c r="D128">
        <v>25</v>
      </c>
      <c r="E128">
        <v>76</v>
      </c>
      <c r="F128">
        <v>2</v>
      </c>
      <c r="G128">
        <v>925</v>
      </c>
      <c r="H128">
        <v>1</v>
      </c>
      <c r="I128" t="s">
        <v>21</v>
      </c>
      <c r="J128">
        <v>700</v>
      </c>
      <c r="K128">
        <v>2</v>
      </c>
      <c r="L128">
        <v>0</v>
      </c>
      <c r="M128">
        <v>2</v>
      </c>
      <c r="N128">
        <v>0.1</v>
      </c>
      <c r="O128">
        <v>100000</v>
      </c>
      <c r="P128" s="2">
        <v>710</v>
      </c>
      <c r="Q128">
        <v>6.47</v>
      </c>
      <c r="R128">
        <v>4.1900000000000004</v>
      </c>
      <c r="S128">
        <v>0.1961</v>
      </c>
      <c r="T128">
        <v>0.53784992938427523</v>
      </c>
      <c r="U128" s="11">
        <f t="shared" si="2"/>
        <v>93864.459545848033</v>
      </c>
      <c r="V128" s="7"/>
      <c r="W128" s="7">
        <f t="shared" si="3"/>
        <v>7.0789098428521626E-7</v>
      </c>
    </row>
    <row r="129" spans="1:23" x14ac:dyDescent="0.3">
      <c r="A129" t="s">
        <v>49</v>
      </c>
      <c r="B129" t="s">
        <v>139</v>
      </c>
      <c r="C129" s="2" t="s">
        <v>4</v>
      </c>
      <c r="D129">
        <v>25</v>
      </c>
      <c r="E129">
        <v>76</v>
      </c>
      <c r="F129">
        <v>2</v>
      </c>
      <c r="G129">
        <v>25</v>
      </c>
      <c r="H129">
        <v>1</v>
      </c>
      <c r="I129" t="s">
        <v>21</v>
      </c>
      <c r="J129">
        <v>700</v>
      </c>
      <c r="K129">
        <v>2</v>
      </c>
      <c r="L129">
        <v>0</v>
      </c>
      <c r="M129">
        <v>2</v>
      </c>
      <c r="N129">
        <v>0.1</v>
      </c>
      <c r="O129">
        <v>100000</v>
      </c>
      <c r="P129" s="2">
        <v>681</v>
      </c>
      <c r="Q129">
        <v>6.49</v>
      </c>
      <c r="R129">
        <v>4.2</v>
      </c>
      <c r="S129">
        <v>0.20710000000000001</v>
      </c>
      <c r="T129">
        <v>0.56079011098986997</v>
      </c>
      <c r="U129" s="11">
        <f t="shared" si="2"/>
        <v>94115.445448609898</v>
      </c>
      <c r="V129" s="7"/>
      <c r="W129" s="7">
        <f t="shared" si="3"/>
        <v>7.0691746329984542E-7</v>
      </c>
    </row>
    <row r="130" spans="1:23" x14ac:dyDescent="0.3">
      <c r="A130" t="s">
        <v>50</v>
      </c>
      <c r="B130" t="s">
        <v>139</v>
      </c>
      <c r="C130" s="2" t="s">
        <v>4</v>
      </c>
      <c r="D130">
        <v>25</v>
      </c>
      <c r="E130">
        <v>76</v>
      </c>
      <c r="F130">
        <v>2</v>
      </c>
      <c r="G130">
        <v>25</v>
      </c>
      <c r="H130">
        <v>1</v>
      </c>
      <c r="I130" t="s">
        <v>21</v>
      </c>
      <c r="J130">
        <v>700</v>
      </c>
      <c r="K130">
        <v>2</v>
      </c>
      <c r="L130">
        <v>0</v>
      </c>
      <c r="M130">
        <v>2</v>
      </c>
      <c r="N130">
        <v>0</v>
      </c>
      <c r="O130">
        <v>100000</v>
      </c>
      <c r="P130" s="2">
        <v>725</v>
      </c>
      <c r="Q130">
        <v>6.47</v>
      </c>
      <c r="R130">
        <v>4.1900000000000004</v>
      </c>
      <c r="S130">
        <v>0.1961</v>
      </c>
      <c r="T130">
        <v>0.56079011098986997</v>
      </c>
      <c r="U130" s="11">
        <f t="shared" si="2"/>
        <v>94115.445448609898</v>
      </c>
      <c r="V130" s="7"/>
      <c r="W130" s="7">
        <f t="shared" si="3"/>
        <v>7.0837954137056693E-7</v>
      </c>
    </row>
    <row r="131" spans="1:23" x14ac:dyDescent="0.3">
      <c r="A131" t="s">
        <v>51</v>
      </c>
      <c r="B131" t="s">
        <v>139</v>
      </c>
      <c r="C131" s="2" t="s">
        <v>4</v>
      </c>
      <c r="D131">
        <v>25</v>
      </c>
      <c r="E131">
        <v>76</v>
      </c>
      <c r="F131">
        <v>2</v>
      </c>
      <c r="G131">
        <v>25</v>
      </c>
      <c r="H131">
        <v>1</v>
      </c>
      <c r="I131" t="s">
        <v>21</v>
      </c>
      <c r="J131">
        <v>500</v>
      </c>
      <c r="K131">
        <v>24</v>
      </c>
      <c r="L131">
        <v>0</v>
      </c>
      <c r="M131">
        <v>2</v>
      </c>
      <c r="N131">
        <v>0</v>
      </c>
      <c r="O131">
        <v>100000</v>
      </c>
      <c r="P131" s="2">
        <v>740</v>
      </c>
      <c r="Q131">
        <v>6.47</v>
      </c>
      <c r="R131">
        <v>4.1900000000000004</v>
      </c>
      <c r="S131">
        <v>0.1961</v>
      </c>
      <c r="T131">
        <v>0.56079011098986997</v>
      </c>
      <c r="U131" s="11">
        <f t="shared" ref="U131:U194" si="4">O131*(1-0.033/T131)</f>
        <v>94115.445448609898</v>
      </c>
      <c r="V131" s="7"/>
      <c r="W131" s="7">
        <f t="shared" ref="W131:W194" si="5">5.7*10^(-7)*P131^(0.033)</f>
        <v>7.0885842006057974E-7</v>
      </c>
    </row>
    <row r="132" spans="1:23" x14ac:dyDescent="0.3">
      <c r="A132" t="s">
        <v>52</v>
      </c>
      <c r="B132" t="s">
        <v>139</v>
      </c>
      <c r="C132" s="2" t="s">
        <v>4</v>
      </c>
      <c r="D132">
        <v>25</v>
      </c>
      <c r="E132">
        <v>76</v>
      </c>
      <c r="F132">
        <v>2</v>
      </c>
      <c r="G132">
        <v>25</v>
      </c>
      <c r="H132">
        <v>1</v>
      </c>
      <c r="I132" t="s">
        <v>21</v>
      </c>
      <c r="J132">
        <v>500</v>
      </c>
      <c r="K132">
        <v>24</v>
      </c>
      <c r="L132">
        <v>0</v>
      </c>
      <c r="M132">
        <v>2</v>
      </c>
      <c r="N132">
        <v>0</v>
      </c>
      <c r="O132">
        <v>100000</v>
      </c>
      <c r="P132" s="2">
        <v>1100</v>
      </c>
      <c r="Q132">
        <v>6.47</v>
      </c>
      <c r="R132">
        <v>4.1900000000000004</v>
      </c>
      <c r="S132">
        <v>0.1961</v>
      </c>
      <c r="T132">
        <v>0.56079011098986997</v>
      </c>
      <c r="U132" s="11">
        <f t="shared" si="4"/>
        <v>94115.445448609898</v>
      </c>
      <c r="V132" s="7"/>
      <c r="W132" s="7">
        <f t="shared" si="5"/>
        <v>7.181924152566607E-7</v>
      </c>
    </row>
    <row r="133" spans="1:23" x14ac:dyDescent="0.3">
      <c r="A133" t="s">
        <v>53</v>
      </c>
      <c r="B133" t="s">
        <v>139</v>
      </c>
      <c r="C133" s="2" t="s">
        <v>4</v>
      </c>
      <c r="D133">
        <v>25</v>
      </c>
      <c r="E133">
        <v>76</v>
      </c>
      <c r="F133">
        <v>2</v>
      </c>
      <c r="G133">
        <v>25</v>
      </c>
      <c r="H133">
        <v>1</v>
      </c>
      <c r="I133" t="s">
        <v>21</v>
      </c>
      <c r="J133">
        <v>500</v>
      </c>
      <c r="K133">
        <v>24</v>
      </c>
      <c r="L133">
        <v>0</v>
      </c>
      <c r="M133">
        <v>2</v>
      </c>
      <c r="N133">
        <v>0</v>
      </c>
      <c r="O133">
        <v>100000</v>
      </c>
      <c r="P133" s="2">
        <v>740</v>
      </c>
      <c r="Q133">
        <v>6.47</v>
      </c>
      <c r="R133">
        <v>4.1900000000000004</v>
      </c>
      <c r="S133">
        <v>0.1961</v>
      </c>
      <c r="T133">
        <v>0.56079011098986997</v>
      </c>
      <c r="U133" s="11">
        <f t="shared" si="4"/>
        <v>94115.445448609898</v>
      </c>
      <c r="V133" s="7"/>
      <c r="W133" s="7">
        <f t="shared" si="5"/>
        <v>7.0885842006057974E-7</v>
      </c>
    </row>
    <row r="134" spans="1:23" x14ac:dyDescent="0.3">
      <c r="A134" t="s">
        <v>54</v>
      </c>
      <c r="B134" t="s">
        <v>139</v>
      </c>
      <c r="C134" s="2" t="s">
        <v>4</v>
      </c>
      <c r="D134">
        <v>25</v>
      </c>
      <c r="E134">
        <v>76</v>
      </c>
      <c r="F134">
        <v>2</v>
      </c>
      <c r="G134">
        <v>1050</v>
      </c>
      <c r="H134">
        <v>0.25</v>
      </c>
      <c r="I134" t="s">
        <v>21</v>
      </c>
      <c r="J134">
        <v>500</v>
      </c>
      <c r="K134">
        <v>24</v>
      </c>
      <c r="L134">
        <v>0</v>
      </c>
      <c r="M134">
        <v>2</v>
      </c>
      <c r="N134">
        <v>-1</v>
      </c>
      <c r="O134">
        <v>100000</v>
      </c>
      <c r="P134" s="2">
        <v>650</v>
      </c>
      <c r="Q134">
        <v>6.4</v>
      </c>
      <c r="R134">
        <v>4</v>
      </c>
      <c r="S134">
        <v>0.19</v>
      </c>
      <c r="T134">
        <v>0.56079011098986997</v>
      </c>
      <c r="U134" s="11">
        <f t="shared" si="4"/>
        <v>94115.445448609898</v>
      </c>
      <c r="V134" s="7"/>
      <c r="W134" s="7">
        <f t="shared" si="5"/>
        <v>7.0583143531183495E-7</v>
      </c>
    </row>
    <row r="135" spans="1:23" x14ac:dyDescent="0.3">
      <c r="A135" t="s">
        <v>55</v>
      </c>
      <c r="B135" t="s">
        <v>139</v>
      </c>
      <c r="C135" s="2" t="s">
        <v>4</v>
      </c>
      <c r="D135">
        <v>25</v>
      </c>
      <c r="E135">
        <v>76</v>
      </c>
      <c r="F135">
        <v>2</v>
      </c>
      <c r="G135">
        <v>25</v>
      </c>
      <c r="H135">
        <v>5</v>
      </c>
      <c r="I135" t="s">
        <v>21</v>
      </c>
      <c r="J135">
        <v>1300</v>
      </c>
      <c r="K135">
        <v>4</v>
      </c>
      <c r="L135">
        <v>0</v>
      </c>
      <c r="M135">
        <v>2</v>
      </c>
      <c r="N135">
        <v>0</v>
      </c>
      <c r="O135">
        <v>100000</v>
      </c>
      <c r="P135" s="2">
        <v>306.27999999999997</v>
      </c>
      <c r="Q135">
        <v>8.67</v>
      </c>
      <c r="R135">
        <v>18.7</v>
      </c>
      <c r="S135">
        <v>0.57100000000000006</v>
      </c>
      <c r="T135">
        <v>0.54440322001040764</v>
      </c>
      <c r="U135" s="11">
        <f t="shared" si="4"/>
        <v>93938.316529544201</v>
      </c>
      <c r="V135" s="7"/>
      <c r="W135" s="7">
        <f t="shared" si="5"/>
        <v>6.8852033397453758E-7</v>
      </c>
    </row>
    <row r="136" spans="1:23" x14ac:dyDescent="0.3">
      <c r="A136" t="s">
        <v>56</v>
      </c>
      <c r="B136" t="s">
        <v>139</v>
      </c>
      <c r="C136" s="2" t="s">
        <v>4</v>
      </c>
      <c r="D136">
        <v>25</v>
      </c>
      <c r="E136">
        <v>76</v>
      </c>
      <c r="F136">
        <v>2</v>
      </c>
      <c r="G136">
        <v>25</v>
      </c>
      <c r="H136">
        <v>5</v>
      </c>
      <c r="I136" t="s">
        <v>21</v>
      </c>
      <c r="J136">
        <v>1300</v>
      </c>
      <c r="K136">
        <v>4</v>
      </c>
      <c r="L136">
        <v>0</v>
      </c>
      <c r="M136">
        <v>2</v>
      </c>
      <c r="N136">
        <v>0</v>
      </c>
      <c r="O136">
        <v>100000</v>
      </c>
      <c r="P136" s="2">
        <v>227.24</v>
      </c>
      <c r="Q136">
        <v>8.67</v>
      </c>
      <c r="R136">
        <v>18.7</v>
      </c>
      <c r="S136">
        <v>0.57100000000000006</v>
      </c>
      <c r="T136">
        <v>0.62064861764874568</v>
      </c>
      <c r="U136" s="11">
        <f t="shared" si="4"/>
        <v>94682.981793302519</v>
      </c>
      <c r="V136" s="7"/>
      <c r="W136" s="7">
        <f t="shared" si="5"/>
        <v>6.817715171308147E-7</v>
      </c>
    </row>
    <row r="137" spans="1:23" x14ac:dyDescent="0.3">
      <c r="A137" t="s">
        <v>57</v>
      </c>
      <c r="B137" t="s">
        <v>139</v>
      </c>
      <c r="C137" s="2" t="s">
        <v>4</v>
      </c>
      <c r="D137">
        <v>25</v>
      </c>
      <c r="E137">
        <v>76</v>
      </c>
      <c r="F137">
        <v>2</v>
      </c>
      <c r="G137">
        <v>970</v>
      </c>
      <c r="H137">
        <v>0.5</v>
      </c>
      <c r="I137" t="s">
        <v>21</v>
      </c>
      <c r="J137">
        <v>700</v>
      </c>
      <c r="K137">
        <v>0.5</v>
      </c>
      <c r="L137">
        <v>0</v>
      </c>
      <c r="M137">
        <v>2</v>
      </c>
      <c r="N137">
        <v>-1</v>
      </c>
      <c r="O137">
        <v>112665</v>
      </c>
      <c r="P137" s="2">
        <v>461.077</v>
      </c>
      <c r="Q137">
        <v>6.42</v>
      </c>
      <c r="R137">
        <v>4.01</v>
      </c>
      <c r="S137">
        <v>0.23100000000000001</v>
      </c>
      <c r="T137">
        <v>0.67667254422990641</v>
      </c>
      <c r="U137" s="11">
        <f t="shared" si="4"/>
        <v>107170.54772510943</v>
      </c>
      <c r="V137" s="7"/>
      <c r="W137" s="7">
        <f t="shared" si="5"/>
        <v>6.9787779435800053E-7</v>
      </c>
    </row>
    <row r="138" spans="1:23" x14ac:dyDescent="0.3">
      <c r="A138" t="s">
        <v>58</v>
      </c>
      <c r="B138" t="s">
        <v>139</v>
      </c>
      <c r="C138" s="2" t="s">
        <v>4</v>
      </c>
      <c r="D138">
        <v>25</v>
      </c>
      <c r="E138">
        <v>76</v>
      </c>
      <c r="F138">
        <v>2</v>
      </c>
      <c r="G138">
        <v>970</v>
      </c>
      <c r="H138">
        <v>0.5</v>
      </c>
      <c r="I138" t="s">
        <v>21</v>
      </c>
      <c r="J138">
        <v>700</v>
      </c>
      <c r="K138">
        <v>0.5</v>
      </c>
      <c r="L138">
        <v>0</v>
      </c>
      <c r="M138">
        <v>2</v>
      </c>
      <c r="N138">
        <v>-1</v>
      </c>
      <c r="O138">
        <v>145241</v>
      </c>
      <c r="P138" s="2">
        <v>550.01700000000005</v>
      </c>
      <c r="Q138">
        <v>6.42</v>
      </c>
      <c r="R138">
        <v>4.01</v>
      </c>
      <c r="S138">
        <v>0.23100000000000001</v>
      </c>
      <c r="T138">
        <v>0.58980591855772457</v>
      </c>
      <c r="U138" s="11">
        <f t="shared" si="4"/>
        <v>137114.67768075233</v>
      </c>
      <c r="V138" s="7"/>
      <c r="W138" s="7">
        <f t="shared" si="5"/>
        <v>7.0195176019542378E-7</v>
      </c>
    </row>
    <row r="139" spans="1:23" x14ac:dyDescent="0.3">
      <c r="A139" t="s">
        <v>59</v>
      </c>
      <c r="B139" t="s">
        <v>139</v>
      </c>
      <c r="C139" s="2" t="s">
        <v>4</v>
      </c>
      <c r="D139">
        <v>25</v>
      </c>
      <c r="E139">
        <v>76</v>
      </c>
      <c r="F139">
        <v>2</v>
      </c>
      <c r="G139">
        <v>970</v>
      </c>
      <c r="H139">
        <v>0.5</v>
      </c>
      <c r="I139" t="s">
        <v>21</v>
      </c>
      <c r="J139">
        <v>700</v>
      </c>
      <c r="K139">
        <v>0.5</v>
      </c>
      <c r="L139">
        <v>0</v>
      </c>
      <c r="M139">
        <v>2</v>
      </c>
      <c r="N139">
        <v>-1</v>
      </c>
      <c r="O139">
        <v>233388</v>
      </c>
      <c r="P139" s="2">
        <v>600.83000000000004</v>
      </c>
      <c r="Q139">
        <v>6.42</v>
      </c>
      <c r="R139">
        <v>4.01</v>
      </c>
      <c r="S139">
        <v>0.23100000000000001</v>
      </c>
      <c r="T139">
        <v>0.58980591855772457</v>
      </c>
      <c r="U139" s="11">
        <f t="shared" si="4"/>
        <v>220329.79939931168</v>
      </c>
      <c r="V139" s="7"/>
      <c r="W139" s="7">
        <f t="shared" si="5"/>
        <v>7.0400162043188781E-7</v>
      </c>
    </row>
    <row r="140" spans="1:23" x14ac:dyDescent="0.3">
      <c r="A140" t="s">
        <v>60</v>
      </c>
      <c r="B140" t="s">
        <v>139</v>
      </c>
      <c r="C140" s="2" t="s">
        <v>4</v>
      </c>
      <c r="D140">
        <v>25</v>
      </c>
      <c r="E140">
        <v>76</v>
      </c>
      <c r="F140">
        <v>2</v>
      </c>
      <c r="G140">
        <v>25</v>
      </c>
      <c r="H140">
        <v>1</v>
      </c>
      <c r="I140" t="s">
        <v>21</v>
      </c>
      <c r="J140">
        <v>600</v>
      </c>
      <c r="K140">
        <v>8</v>
      </c>
      <c r="L140">
        <v>0</v>
      </c>
      <c r="M140">
        <v>2</v>
      </c>
      <c r="N140">
        <v>0.1</v>
      </c>
      <c r="O140">
        <v>290000</v>
      </c>
      <c r="P140" s="2">
        <v>730</v>
      </c>
      <c r="Q140">
        <v>8.15</v>
      </c>
      <c r="R140">
        <v>5.8</v>
      </c>
      <c r="S140">
        <v>6.3E-2</v>
      </c>
      <c r="T140">
        <v>0.97177920839610765</v>
      </c>
      <c r="U140" s="11">
        <f t="shared" si="4"/>
        <v>280152.08401526208</v>
      </c>
      <c r="V140" s="7"/>
      <c r="W140" s="7">
        <f t="shared" si="5"/>
        <v>7.085402236252149E-7</v>
      </c>
    </row>
    <row r="141" spans="1:23" x14ac:dyDescent="0.3">
      <c r="A141" t="s">
        <v>61</v>
      </c>
      <c r="B141" t="s">
        <v>139</v>
      </c>
      <c r="C141" s="2" t="s">
        <v>4</v>
      </c>
      <c r="D141">
        <v>25</v>
      </c>
      <c r="E141">
        <v>76</v>
      </c>
      <c r="F141">
        <v>2</v>
      </c>
      <c r="G141">
        <v>970</v>
      </c>
      <c r="H141">
        <v>0.5</v>
      </c>
      <c r="I141" t="s">
        <v>21</v>
      </c>
      <c r="J141">
        <v>700</v>
      </c>
      <c r="K141">
        <v>0.5</v>
      </c>
      <c r="L141">
        <v>0</v>
      </c>
      <c r="M141">
        <v>2</v>
      </c>
      <c r="N141">
        <v>-1</v>
      </c>
      <c r="O141">
        <v>321569</v>
      </c>
      <c r="P141" s="2">
        <v>430.28</v>
      </c>
      <c r="Q141">
        <v>6.42</v>
      </c>
      <c r="R141">
        <v>4.01</v>
      </c>
      <c r="S141">
        <v>0.23100000000000001</v>
      </c>
      <c r="T141">
        <v>0.56567879038870927</v>
      </c>
      <c r="U141" s="11">
        <f t="shared" si="4"/>
        <v>302809.6312905809</v>
      </c>
      <c r="V141" s="7"/>
      <c r="W141" s="7">
        <f t="shared" si="5"/>
        <v>6.9628757264995223E-7</v>
      </c>
    </row>
    <row r="142" spans="1:23" x14ac:dyDescent="0.3">
      <c r="A142" t="s">
        <v>62</v>
      </c>
      <c r="B142" t="s">
        <v>139</v>
      </c>
      <c r="C142" s="2" t="s">
        <v>4</v>
      </c>
      <c r="D142">
        <v>25</v>
      </c>
      <c r="E142">
        <v>76</v>
      </c>
      <c r="F142">
        <v>2</v>
      </c>
      <c r="G142">
        <v>970</v>
      </c>
      <c r="H142">
        <v>0.5</v>
      </c>
      <c r="I142" t="s">
        <v>21</v>
      </c>
      <c r="J142">
        <v>700</v>
      </c>
      <c r="K142">
        <v>0.5</v>
      </c>
      <c r="L142">
        <v>0</v>
      </c>
      <c r="M142">
        <v>2</v>
      </c>
      <c r="N142">
        <v>-1</v>
      </c>
      <c r="O142">
        <v>390678</v>
      </c>
      <c r="P142" s="2">
        <v>541.21</v>
      </c>
      <c r="Q142">
        <v>6.42</v>
      </c>
      <c r="R142">
        <v>4.01</v>
      </c>
      <c r="S142">
        <v>0.23100000000000001</v>
      </c>
      <c r="T142">
        <v>0.58980591855772457</v>
      </c>
      <c r="U142" s="11">
        <f t="shared" si="4"/>
        <v>368819.3281990689</v>
      </c>
      <c r="V142" s="7"/>
      <c r="W142" s="7">
        <f t="shared" si="5"/>
        <v>7.015779442168557E-7</v>
      </c>
    </row>
    <row r="143" spans="1:23" x14ac:dyDescent="0.3">
      <c r="A143" t="s">
        <v>63</v>
      </c>
      <c r="B143" t="s">
        <v>139</v>
      </c>
      <c r="C143" s="2" t="s">
        <v>4</v>
      </c>
      <c r="D143">
        <v>25</v>
      </c>
      <c r="E143">
        <v>76</v>
      </c>
      <c r="F143">
        <v>2</v>
      </c>
      <c r="G143">
        <v>970</v>
      </c>
      <c r="H143">
        <v>0.5</v>
      </c>
      <c r="I143" t="s">
        <v>21</v>
      </c>
      <c r="J143">
        <v>700</v>
      </c>
      <c r="K143">
        <v>0.5</v>
      </c>
      <c r="L143">
        <v>0</v>
      </c>
      <c r="M143">
        <v>2</v>
      </c>
      <c r="N143">
        <v>-1</v>
      </c>
      <c r="O143">
        <v>452387</v>
      </c>
      <c r="P143" s="2">
        <v>400.68099999999998</v>
      </c>
      <c r="Q143">
        <v>6.42</v>
      </c>
      <c r="R143">
        <v>4.01</v>
      </c>
      <c r="S143">
        <v>0.23100000000000001</v>
      </c>
      <c r="T143">
        <v>0.58980591855772457</v>
      </c>
      <c r="U143" s="11">
        <f t="shared" si="4"/>
        <v>427075.672103349</v>
      </c>
      <c r="V143" s="7"/>
      <c r="W143" s="7">
        <f t="shared" si="5"/>
        <v>6.9465187834805137E-7</v>
      </c>
    </row>
    <row r="144" spans="1:23" x14ac:dyDescent="0.3">
      <c r="A144" t="s">
        <v>64</v>
      </c>
      <c r="B144" t="s">
        <v>139</v>
      </c>
      <c r="C144" s="2" t="s">
        <v>4</v>
      </c>
      <c r="D144">
        <v>25</v>
      </c>
      <c r="E144">
        <v>76</v>
      </c>
      <c r="F144">
        <v>2</v>
      </c>
      <c r="G144">
        <v>970</v>
      </c>
      <c r="H144">
        <v>0.5</v>
      </c>
      <c r="I144" t="s">
        <v>21</v>
      </c>
      <c r="J144">
        <v>700</v>
      </c>
      <c r="K144">
        <v>0.5</v>
      </c>
      <c r="L144">
        <v>0</v>
      </c>
      <c r="M144">
        <v>2</v>
      </c>
      <c r="N144">
        <v>-1</v>
      </c>
      <c r="O144">
        <v>481796</v>
      </c>
      <c r="P144" s="2">
        <v>370.73099999999999</v>
      </c>
      <c r="Q144">
        <v>6.42</v>
      </c>
      <c r="R144">
        <v>4.01</v>
      </c>
      <c r="S144">
        <v>0.23100000000000001</v>
      </c>
      <c r="T144">
        <v>0.58980591855772457</v>
      </c>
      <c r="U144" s="11">
        <f t="shared" si="4"/>
        <v>454839.22065997723</v>
      </c>
      <c r="V144" s="7"/>
      <c r="W144" s="7">
        <f t="shared" si="5"/>
        <v>6.9287325759640071E-7</v>
      </c>
    </row>
    <row r="145" spans="1:23" x14ac:dyDescent="0.3">
      <c r="A145" t="s">
        <v>65</v>
      </c>
      <c r="B145" t="s">
        <v>139</v>
      </c>
      <c r="C145" s="2" t="s">
        <v>4</v>
      </c>
      <c r="D145">
        <v>25</v>
      </c>
      <c r="E145">
        <v>76</v>
      </c>
      <c r="F145">
        <v>2</v>
      </c>
      <c r="G145">
        <v>970</v>
      </c>
      <c r="H145">
        <v>0.5</v>
      </c>
      <c r="I145" t="s">
        <v>21</v>
      </c>
      <c r="J145">
        <v>700</v>
      </c>
      <c r="K145">
        <v>0.5</v>
      </c>
      <c r="L145">
        <v>0</v>
      </c>
      <c r="M145">
        <v>2</v>
      </c>
      <c r="N145">
        <v>-1</v>
      </c>
      <c r="O145">
        <v>496004</v>
      </c>
      <c r="P145" s="2">
        <v>550.17700000000002</v>
      </c>
      <c r="Q145">
        <v>6.42</v>
      </c>
      <c r="R145">
        <v>4.01</v>
      </c>
      <c r="S145">
        <v>0.23100000000000001</v>
      </c>
      <c r="T145">
        <v>0.58980591855772457</v>
      </c>
      <c r="U145" s="11">
        <f t="shared" si="4"/>
        <v>468252.27441537776</v>
      </c>
      <c r="V145" s="7"/>
      <c r="W145" s="7">
        <f t="shared" si="5"/>
        <v>7.0195849777644537E-7</v>
      </c>
    </row>
    <row r="146" spans="1:23" x14ac:dyDescent="0.3">
      <c r="A146" t="s">
        <v>66</v>
      </c>
      <c r="B146" t="s">
        <v>139</v>
      </c>
      <c r="C146" s="2" t="s">
        <v>4</v>
      </c>
      <c r="D146">
        <v>25</v>
      </c>
      <c r="E146">
        <v>76</v>
      </c>
      <c r="F146">
        <v>2</v>
      </c>
      <c r="G146">
        <v>970</v>
      </c>
      <c r="H146">
        <v>0.5</v>
      </c>
      <c r="I146" t="s">
        <v>21</v>
      </c>
      <c r="J146">
        <v>700</v>
      </c>
      <c r="K146">
        <v>0.5</v>
      </c>
      <c r="L146">
        <v>0</v>
      </c>
      <c r="M146">
        <v>2</v>
      </c>
      <c r="N146">
        <v>-1</v>
      </c>
      <c r="O146">
        <v>505165</v>
      </c>
      <c r="P146" s="2">
        <v>500.71</v>
      </c>
      <c r="Q146">
        <v>6.42</v>
      </c>
      <c r="R146">
        <v>4.01</v>
      </c>
      <c r="S146">
        <v>0.23100000000000001</v>
      </c>
      <c r="T146">
        <v>0.58980591855772457</v>
      </c>
      <c r="U146" s="11">
        <f t="shared" si="4"/>
        <v>476900.71089153376</v>
      </c>
      <c r="V146" s="7"/>
      <c r="W146" s="7">
        <f t="shared" si="5"/>
        <v>6.9977947859857896E-7</v>
      </c>
    </row>
    <row r="147" spans="1:23" x14ac:dyDescent="0.3">
      <c r="A147" t="s">
        <v>67</v>
      </c>
      <c r="B147" t="s">
        <v>139</v>
      </c>
      <c r="C147" s="2" t="s">
        <v>4</v>
      </c>
      <c r="D147">
        <v>25</v>
      </c>
      <c r="E147">
        <v>76</v>
      </c>
      <c r="F147">
        <v>2</v>
      </c>
      <c r="G147">
        <v>970</v>
      </c>
      <c r="H147">
        <v>0.5</v>
      </c>
      <c r="I147" t="s">
        <v>21</v>
      </c>
      <c r="J147">
        <v>700</v>
      </c>
      <c r="K147">
        <v>0.5</v>
      </c>
      <c r="L147">
        <v>0</v>
      </c>
      <c r="M147">
        <v>2</v>
      </c>
      <c r="N147">
        <v>-1</v>
      </c>
      <c r="O147">
        <v>517945</v>
      </c>
      <c r="P147" s="2">
        <v>499.9</v>
      </c>
      <c r="Q147">
        <v>6.42</v>
      </c>
      <c r="R147">
        <v>4.01</v>
      </c>
      <c r="S147">
        <v>0.23100000000000001</v>
      </c>
      <c r="T147">
        <v>0.58980591855772457</v>
      </c>
      <c r="U147" s="11">
        <f t="shared" si="4"/>
        <v>488965.66211577499</v>
      </c>
      <c r="V147" s="7"/>
      <c r="W147" s="7">
        <f t="shared" si="5"/>
        <v>6.9974209218454186E-7</v>
      </c>
    </row>
    <row r="148" spans="1:23" x14ac:dyDescent="0.3">
      <c r="A148" t="s">
        <v>68</v>
      </c>
      <c r="B148" t="s">
        <v>139</v>
      </c>
      <c r="C148" s="2" t="s">
        <v>4</v>
      </c>
      <c r="D148">
        <v>25</v>
      </c>
      <c r="E148">
        <v>76</v>
      </c>
      <c r="F148">
        <v>2</v>
      </c>
      <c r="G148">
        <v>970</v>
      </c>
      <c r="H148">
        <v>0.5</v>
      </c>
      <c r="I148" t="s">
        <v>21</v>
      </c>
      <c r="J148">
        <v>700</v>
      </c>
      <c r="K148">
        <v>0.5</v>
      </c>
      <c r="L148">
        <v>0</v>
      </c>
      <c r="M148">
        <v>2</v>
      </c>
      <c r="N148">
        <v>-1</v>
      </c>
      <c r="O148">
        <v>554811</v>
      </c>
      <c r="P148" s="2">
        <v>340.37599999999998</v>
      </c>
      <c r="Q148">
        <v>6.42</v>
      </c>
      <c r="R148">
        <v>4.01</v>
      </c>
      <c r="S148">
        <v>0.23100000000000001</v>
      </c>
      <c r="T148">
        <v>0.56567879038870927</v>
      </c>
      <c r="U148" s="11">
        <f t="shared" si="4"/>
        <v>522444.99421884096</v>
      </c>
      <c r="V148" s="7"/>
      <c r="W148" s="7">
        <f t="shared" si="5"/>
        <v>6.9092276184633277E-7</v>
      </c>
    </row>
    <row r="149" spans="1:23" x14ac:dyDescent="0.3">
      <c r="A149" t="s">
        <v>69</v>
      </c>
      <c r="B149" t="s">
        <v>139</v>
      </c>
      <c r="C149" s="2" t="s">
        <v>4</v>
      </c>
      <c r="D149">
        <v>25</v>
      </c>
      <c r="E149">
        <v>76</v>
      </c>
      <c r="F149">
        <v>2</v>
      </c>
      <c r="G149">
        <v>970</v>
      </c>
      <c r="H149">
        <v>0.5</v>
      </c>
      <c r="I149" t="s">
        <v>21</v>
      </c>
      <c r="J149">
        <v>700</v>
      </c>
      <c r="K149">
        <v>0.5</v>
      </c>
      <c r="L149">
        <v>0</v>
      </c>
      <c r="M149">
        <v>2</v>
      </c>
      <c r="N149">
        <v>-1</v>
      </c>
      <c r="O149">
        <v>566076</v>
      </c>
      <c r="P149" s="2">
        <v>429.52300000000002</v>
      </c>
      <c r="Q149">
        <v>6.42</v>
      </c>
      <c r="R149">
        <v>4.01</v>
      </c>
      <c r="S149">
        <v>0.23100000000000001</v>
      </c>
      <c r="T149">
        <v>0.58980591855772457</v>
      </c>
      <c r="U149" s="11">
        <f t="shared" si="4"/>
        <v>534403.70338134246</v>
      </c>
      <c r="V149" s="7"/>
      <c r="W149" s="7">
        <f t="shared" si="5"/>
        <v>6.962471134773593E-7</v>
      </c>
    </row>
    <row r="150" spans="1:23" x14ac:dyDescent="0.3">
      <c r="A150" t="s">
        <v>70</v>
      </c>
      <c r="B150" t="s">
        <v>139</v>
      </c>
      <c r="C150" s="2" t="s">
        <v>4</v>
      </c>
      <c r="D150">
        <v>25</v>
      </c>
      <c r="E150">
        <v>76</v>
      </c>
      <c r="F150">
        <v>2</v>
      </c>
      <c r="G150">
        <v>25</v>
      </c>
      <c r="H150">
        <v>1</v>
      </c>
      <c r="I150" t="s">
        <v>21</v>
      </c>
      <c r="J150">
        <v>600</v>
      </c>
      <c r="K150">
        <v>8</v>
      </c>
      <c r="L150">
        <v>0</v>
      </c>
      <c r="M150">
        <v>2</v>
      </c>
      <c r="N150">
        <v>0.1</v>
      </c>
      <c r="O150">
        <v>600000</v>
      </c>
      <c r="P150" s="2">
        <v>951</v>
      </c>
      <c r="Q150">
        <v>8.15</v>
      </c>
      <c r="R150">
        <v>5.8</v>
      </c>
      <c r="S150">
        <v>6.3E-2</v>
      </c>
      <c r="T150">
        <v>0.91900489211114056</v>
      </c>
      <c r="U150" s="11">
        <f t="shared" si="4"/>
        <v>578454.95691049541</v>
      </c>
      <c r="V150" s="7"/>
      <c r="W150" s="7">
        <f t="shared" si="5"/>
        <v>7.1475106761584809E-7</v>
      </c>
    </row>
    <row r="151" spans="1:23" x14ac:dyDescent="0.3">
      <c r="A151" t="s">
        <v>71</v>
      </c>
      <c r="B151" t="s">
        <v>139</v>
      </c>
      <c r="C151" s="2" t="s">
        <v>4</v>
      </c>
      <c r="D151">
        <v>25</v>
      </c>
      <c r="E151">
        <v>76</v>
      </c>
      <c r="F151">
        <v>2</v>
      </c>
      <c r="G151">
        <v>970</v>
      </c>
      <c r="H151">
        <v>0.5</v>
      </c>
      <c r="I151" t="s">
        <v>21</v>
      </c>
      <c r="J151">
        <v>700</v>
      </c>
      <c r="K151">
        <v>0.5</v>
      </c>
      <c r="L151">
        <v>0</v>
      </c>
      <c r="M151">
        <v>2</v>
      </c>
      <c r="N151">
        <v>-1</v>
      </c>
      <c r="O151">
        <v>600610</v>
      </c>
      <c r="P151" s="2">
        <v>429.71</v>
      </c>
      <c r="Q151">
        <v>6.42</v>
      </c>
      <c r="R151">
        <v>4.01</v>
      </c>
      <c r="S151">
        <v>0.23100000000000001</v>
      </c>
      <c r="T151">
        <v>0.58980591855772457</v>
      </c>
      <c r="U151" s="11">
        <f t="shared" si="4"/>
        <v>567005.50506975758</v>
      </c>
      <c r="V151" s="7"/>
      <c r="W151" s="7">
        <f t="shared" si="5"/>
        <v>6.9625711442439683E-7</v>
      </c>
    </row>
    <row r="152" spans="1:23" x14ac:dyDescent="0.3">
      <c r="A152" t="s">
        <v>72</v>
      </c>
      <c r="B152" t="s">
        <v>139</v>
      </c>
      <c r="C152" s="2" t="s">
        <v>4</v>
      </c>
      <c r="D152">
        <v>25</v>
      </c>
      <c r="E152">
        <v>76</v>
      </c>
      <c r="F152">
        <v>2</v>
      </c>
      <c r="G152">
        <v>970</v>
      </c>
      <c r="H152">
        <v>0.5</v>
      </c>
      <c r="I152" t="s">
        <v>21</v>
      </c>
      <c r="J152">
        <v>700</v>
      </c>
      <c r="K152">
        <v>0.5</v>
      </c>
      <c r="L152">
        <v>0</v>
      </c>
      <c r="M152">
        <v>2</v>
      </c>
      <c r="N152">
        <v>-1</v>
      </c>
      <c r="O152">
        <v>682813</v>
      </c>
      <c r="P152" s="2">
        <v>369.73899999999998</v>
      </c>
      <c r="Q152">
        <v>6.42</v>
      </c>
      <c r="R152">
        <v>4.01</v>
      </c>
      <c r="S152">
        <v>0.23100000000000001</v>
      </c>
      <c r="T152">
        <v>0.56567879038870927</v>
      </c>
      <c r="U152" s="11">
        <f t="shared" si="4"/>
        <v>642979.74235829758</v>
      </c>
      <c r="V152" s="7"/>
      <c r="W152" s="7">
        <f t="shared" si="5"/>
        <v>6.9281199674910817E-7</v>
      </c>
    </row>
    <row r="153" spans="1:23" x14ac:dyDescent="0.3">
      <c r="A153" t="s">
        <v>73</v>
      </c>
      <c r="B153" t="s">
        <v>139</v>
      </c>
      <c r="C153" s="2" t="s">
        <v>4</v>
      </c>
      <c r="D153">
        <v>25</v>
      </c>
      <c r="E153">
        <v>76</v>
      </c>
      <c r="F153">
        <v>2</v>
      </c>
      <c r="G153">
        <v>970</v>
      </c>
      <c r="H153">
        <v>0.5</v>
      </c>
      <c r="I153" t="s">
        <v>21</v>
      </c>
      <c r="J153">
        <v>700</v>
      </c>
      <c r="K153">
        <v>0.5</v>
      </c>
      <c r="L153">
        <v>0</v>
      </c>
      <c r="M153">
        <v>2</v>
      </c>
      <c r="N153">
        <v>-1</v>
      </c>
      <c r="O153">
        <v>718649</v>
      </c>
      <c r="P153" s="2">
        <v>369.86799999999999</v>
      </c>
      <c r="Q153">
        <v>6.42</v>
      </c>
      <c r="R153">
        <v>4.01</v>
      </c>
      <c r="S153">
        <v>0.23100000000000001</v>
      </c>
      <c r="T153">
        <v>0.58980591855772457</v>
      </c>
      <c r="U153" s="11">
        <f t="shared" si="4"/>
        <v>678440.15120107261</v>
      </c>
      <c r="V153" s="7"/>
      <c r="W153" s="7">
        <f t="shared" si="5"/>
        <v>6.9281997211352633E-7</v>
      </c>
    </row>
    <row r="154" spans="1:23" x14ac:dyDescent="0.3">
      <c r="A154" t="s">
        <v>74</v>
      </c>
      <c r="B154" t="s">
        <v>139</v>
      </c>
      <c r="C154" s="2" t="s">
        <v>4</v>
      </c>
      <c r="D154">
        <v>25</v>
      </c>
      <c r="E154">
        <v>76</v>
      </c>
      <c r="F154">
        <v>2</v>
      </c>
      <c r="G154">
        <v>970</v>
      </c>
      <c r="H154">
        <v>0.5</v>
      </c>
      <c r="I154" t="s">
        <v>21</v>
      </c>
      <c r="J154">
        <v>700</v>
      </c>
      <c r="K154">
        <v>0.5</v>
      </c>
      <c r="L154">
        <v>0</v>
      </c>
      <c r="M154">
        <v>2</v>
      </c>
      <c r="N154">
        <v>-1</v>
      </c>
      <c r="O154">
        <v>998314</v>
      </c>
      <c r="P154" s="2">
        <v>339.54199999999997</v>
      </c>
      <c r="Q154">
        <v>6.42</v>
      </c>
      <c r="R154">
        <v>4.01</v>
      </c>
      <c r="S154">
        <v>0.23100000000000001</v>
      </c>
      <c r="T154">
        <v>0.58980591855772457</v>
      </c>
      <c r="U154" s="11">
        <f t="shared" si="4"/>
        <v>942457.72429398447</v>
      </c>
      <c r="V154" s="7"/>
      <c r="W154" s="7">
        <f t="shared" si="5"/>
        <v>6.9086682917183924E-7</v>
      </c>
    </row>
    <row r="155" spans="1:23" x14ac:dyDescent="0.3">
      <c r="A155" t="s">
        <v>75</v>
      </c>
      <c r="B155" t="s">
        <v>139</v>
      </c>
      <c r="C155" s="2" t="s">
        <v>4</v>
      </c>
      <c r="D155">
        <v>25</v>
      </c>
      <c r="E155">
        <v>76</v>
      </c>
      <c r="F155">
        <v>2</v>
      </c>
      <c r="G155">
        <v>970</v>
      </c>
      <c r="H155">
        <v>0.5</v>
      </c>
      <c r="I155" t="s">
        <v>21</v>
      </c>
      <c r="J155">
        <v>700</v>
      </c>
      <c r="K155">
        <v>0.5</v>
      </c>
      <c r="L155">
        <v>0</v>
      </c>
      <c r="M155">
        <v>2</v>
      </c>
      <c r="N155">
        <v>-1</v>
      </c>
      <c r="O155">
        <v>1000000</v>
      </c>
      <c r="P155" s="2">
        <v>525</v>
      </c>
      <c r="Q155">
        <v>10.149000000000001</v>
      </c>
      <c r="R155">
        <v>4.95</v>
      </c>
      <c r="S155">
        <v>0.1615</v>
      </c>
      <c r="T155">
        <v>1.0099075945242479</v>
      </c>
      <c r="U155" s="11">
        <f t="shared" si="4"/>
        <v>967323.74310389685</v>
      </c>
      <c r="V155" s="7"/>
      <c r="W155" s="7">
        <f t="shared" si="5"/>
        <v>7.0087426341600388E-7</v>
      </c>
    </row>
    <row r="156" spans="1:23" x14ac:dyDescent="0.3">
      <c r="A156" t="s">
        <v>76</v>
      </c>
      <c r="B156" t="s">
        <v>139</v>
      </c>
      <c r="C156" s="2" t="s">
        <v>4</v>
      </c>
      <c r="D156">
        <v>25</v>
      </c>
      <c r="E156">
        <v>76</v>
      </c>
      <c r="F156">
        <v>2</v>
      </c>
      <c r="G156">
        <v>932</v>
      </c>
      <c r="H156">
        <v>1</v>
      </c>
      <c r="I156" t="s">
        <v>21</v>
      </c>
      <c r="J156">
        <v>704</v>
      </c>
      <c r="K156">
        <v>2</v>
      </c>
      <c r="L156">
        <v>0</v>
      </c>
      <c r="M156">
        <v>2</v>
      </c>
      <c r="N156">
        <v>-1</v>
      </c>
      <c r="O156">
        <v>1000000</v>
      </c>
      <c r="P156" s="2">
        <v>300.54500000000002</v>
      </c>
      <c r="Q156">
        <v>6.42</v>
      </c>
      <c r="R156">
        <v>4.01</v>
      </c>
      <c r="S156">
        <v>0.23100000000000001</v>
      </c>
      <c r="T156">
        <v>0.56079011098986997</v>
      </c>
      <c r="U156" s="11">
        <f t="shared" si="4"/>
        <v>941154.45448609907</v>
      </c>
      <c r="V156" s="7"/>
      <c r="W156" s="7">
        <f t="shared" si="5"/>
        <v>6.8809098725303897E-7</v>
      </c>
    </row>
    <row r="157" spans="1:23" x14ac:dyDescent="0.3">
      <c r="A157" t="s">
        <v>77</v>
      </c>
      <c r="B157" t="s">
        <v>139</v>
      </c>
      <c r="C157" s="2" t="s">
        <v>4</v>
      </c>
      <c r="D157">
        <v>25</v>
      </c>
      <c r="E157">
        <v>76</v>
      </c>
      <c r="F157">
        <v>2</v>
      </c>
      <c r="G157">
        <v>932</v>
      </c>
      <c r="H157">
        <v>1</v>
      </c>
      <c r="I157" t="s">
        <v>21</v>
      </c>
      <c r="J157">
        <v>704</v>
      </c>
      <c r="K157">
        <v>2</v>
      </c>
      <c r="L157">
        <v>0</v>
      </c>
      <c r="M157">
        <v>2</v>
      </c>
      <c r="N157">
        <v>-1</v>
      </c>
      <c r="O157">
        <v>1000000</v>
      </c>
      <c r="P157" s="2">
        <v>400</v>
      </c>
      <c r="Q157">
        <v>6.47</v>
      </c>
      <c r="R157">
        <v>4.1900000000000004</v>
      </c>
      <c r="S157">
        <v>0.192</v>
      </c>
      <c r="T157">
        <v>0.56079011098986997</v>
      </c>
      <c r="U157" s="11">
        <f t="shared" si="4"/>
        <v>941154.45448609907</v>
      </c>
      <c r="V157" s="7"/>
      <c r="W157" s="7">
        <f t="shared" si="5"/>
        <v>6.9461288534764957E-7</v>
      </c>
    </row>
    <row r="158" spans="1:23" x14ac:dyDescent="0.3">
      <c r="A158" t="s">
        <v>78</v>
      </c>
      <c r="B158" t="s">
        <v>139</v>
      </c>
      <c r="C158" s="2" t="s">
        <v>4</v>
      </c>
      <c r="D158">
        <v>25</v>
      </c>
      <c r="E158">
        <v>76</v>
      </c>
      <c r="F158">
        <v>2</v>
      </c>
      <c r="G158">
        <v>932</v>
      </c>
      <c r="H158">
        <v>1</v>
      </c>
      <c r="I158" t="s">
        <v>21</v>
      </c>
      <c r="J158">
        <v>704</v>
      </c>
      <c r="K158">
        <v>2</v>
      </c>
      <c r="L158">
        <v>0</v>
      </c>
      <c r="M158">
        <v>2</v>
      </c>
      <c r="N158">
        <v>0.1</v>
      </c>
      <c r="O158">
        <v>1000000</v>
      </c>
      <c r="P158" s="2">
        <v>611</v>
      </c>
      <c r="Q158">
        <v>6.47</v>
      </c>
      <c r="R158">
        <v>4.1900000000000004</v>
      </c>
      <c r="S158">
        <v>0.192</v>
      </c>
      <c r="T158">
        <v>0.53784992938427523</v>
      </c>
      <c r="U158" s="11">
        <f t="shared" si="4"/>
        <v>938644.5954584803</v>
      </c>
      <c r="V158" s="7"/>
      <c r="W158" s="7">
        <f t="shared" si="5"/>
        <v>7.0439167675960005E-7</v>
      </c>
    </row>
    <row r="159" spans="1:23" x14ac:dyDescent="0.3">
      <c r="A159" t="s">
        <v>79</v>
      </c>
      <c r="B159" t="s">
        <v>139</v>
      </c>
      <c r="C159" s="2" t="s">
        <v>4</v>
      </c>
      <c r="D159">
        <v>25</v>
      </c>
      <c r="E159">
        <v>76</v>
      </c>
      <c r="F159">
        <v>2</v>
      </c>
      <c r="G159">
        <v>932</v>
      </c>
      <c r="H159">
        <v>1</v>
      </c>
      <c r="I159" t="s">
        <v>21</v>
      </c>
      <c r="J159">
        <v>704</v>
      </c>
      <c r="K159">
        <v>2</v>
      </c>
      <c r="L159">
        <v>0</v>
      </c>
      <c r="M159">
        <v>2</v>
      </c>
      <c r="N159">
        <v>0.5</v>
      </c>
      <c r="O159">
        <v>1000000</v>
      </c>
      <c r="P159" s="2">
        <v>800</v>
      </c>
      <c r="Q159">
        <v>6.47</v>
      </c>
      <c r="R159">
        <v>4.1900000000000004</v>
      </c>
      <c r="S159">
        <v>0.192</v>
      </c>
      <c r="T159">
        <v>0.56079011098986997</v>
      </c>
      <c r="U159" s="11">
        <f t="shared" si="4"/>
        <v>941154.45448609907</v>
      </c>
      <c r="V159" s="7"/>
      <c r="W159" s="7">
        <f t="shared" si="5"/>
        <v>7.1068446995952741E-7</v>
      </c>
    </row>
    <row r="160" spans="1:23" x14ac:dyDescent="0.3">
      <c r="A160" t="s">
        <v>80</v>
      </c>
      <c r="B160" t="s">
        <v>139</v>
      </c>
      <c r="C160" s="2" t="s">
        <v>4</v>
      </c>
      <c r="D160">
        <v>25</v>
      </c>
      <c r="E160">
        <v>76</v>
      </c>
      <c r="F160">
        <v>2</v>
      </c>
      <c r="G160">
        <v>925</v>
      </c>
      <c r="H160">
        <v>1</v>
      </c>
      <c r="I160" t="s">
        <v>21</v>
      </c>
      <c r="J160">
        <v>700</v>
      </c>
      <c r="K160">
        <v>2</v>
      </c>
      <c r="L160">
        <v>0</v>
      </c>
      <c r="M160">
        <v>2</v>
      </c>
      <c r="N160">
        <v>0.8</v>
      </c>
      <c r="O160">
        <v>1000000</v>
      </c>
      <c r="P160" s="2">
        <v>920</v>
      </c>
      <c r="Q160">
        <v>6.47</v>
      </c>
      <c r="R160">
        <v>4.1900000000000004</v>
      </c>
      <c r="S160">
        <v>0.192</v>
      </c>
      <c r="T160">
        <v>0.53784992938427523</v>
      </c>
      <c r="U160" s="11">
        <f t="shared" si="4"/>
        <v>938644.5954584803</v>
      </c>
      <c r="V160" s="7"/>
      <c r="W160" s="7">
        <f t="shared" si="5"/>
        <v>7.1396981957258311E-7</v>
      </c>
    </row>
    <row r="161" spans="1:23" x14ac:dyDescent="0.3">
      <c r="A161" t="s">
        <v>81</v>
      </c>
      <c r="B161" t="s">
        <v>139</v>
      </c>
      <c r="C161" s="2" t="s">
        <v>4</v>
      </c>
      <c r="D161">
        <v>25</v>
      </c>
      <c r="E161">
        <v>76</v>
      </c>
      <c r="F161">
        <v>2</v>
      </c>
      <c r="G161">
        <v>925</v>
      </c>
      <c r="H161">
        <v>1</v>
      </c>
      <c r="I161" t="s">
        <v>21</v>
      </c>
      <c r="J161">
        <v>700</v>
      </c>
      <c r="K161">
        <v>2</v>
      </c>
      <c r="L161">
        <v>0</v>
      </c>
      <c r="M161">
        <v>2</v>
      </c>
      <c r="N161">
        <v>0.1</v>
      </c>
      <c r="O161">
        <v>1000000</v>
      </c>
      <c r="P161" s="2">
        <v>600</v>
      </c>
      <c r="Q161">
        <v>6.47</v>
      </c>
      <c r="R161">
        <v>4.1900000000000004</v>
      </c>
      <c r="S161">
        <v>0.1961</v>
      </c>
      <c r="T161">
        <v>0.56079011098986997</v>
      </c>
      <c r="U161" s="11">
        <f t="shared" si="4"/>
        <v>941154.45448609907</v>
      </c>
      <c r="V161" s="7"/>
      <c r="W161" s="7">
        <f t="shared" si="5"/>
        <v>7.0396950569851215E-7</v>
      </c>
    </row>
    <row r="162" spans="1:23" x14ac:dyDescent="0.3">
      <c r="A162" t="s">
        <v>82</v>
      </c>
      <c r="B162" t="s">
        <v>139</v>
      </c>
      <c r="C162" s="2" t="s">
        <v>4</v>
      </c>
      <c r="D162">
        <v>25</v>
      </c>
      <c r="E162">
        <v>76</v>
      </c>
      <c r="F162">
        <v>2</v>
      </c>
      <c r="G162">
        <v>925</v>
      </c>
      <c r="H162">
        <v>1</v>
      </c>
      <c r="I162" t="s">
        <v>21</v>
      </c>
      <c r="J162">
        <v>700</v>
      </c>
      <c r="K162">
        <v>2</v>
      </c>
      <c r="L162">
        <v>0</v>
      </c>
      <c r="M162">
        <v>2</v>
      </c>
      <c r="N162">
        <v>0.5</v>
      </c>
      <c r="O162">
        <v>1000000</v>
      </c>
      <c r="P162" s="2">
        <v>780</v>
      </c>
      <c r="Q162">
        <v>6.47</v>
      </c>
      <c r="R162">
        <v>4.1900000000000004</v>
      </c>
      <c r="S162">
        <v>0.1961</v>
      </c>
      <c r="T162">
        <v>0.56079011098986997</v>
      </c>
      <c r="U162" s="11">
        <f t="shared" si="4"/>
        <v>941154.45448609907</v>
      </c>
      <c r="V162" s="7"/>
      <c r="W162" s="7">
        <f t="shared" si="5"/>
        <v>7.1009094982614795E-7</v>
      </c>
    </row>
    <row r="163" spans="1:23" x14ac:dyDescent="0.3">
      <c r="A163" t="s">
        <v>83</v>
      </c>
      <c r="B163" t="s">
        <v>139</v>
      </c>
      <c r="C163" s="2" t="s">
        <v>9</v>
      </c>
      <c r="D163">
        <v>25</v>
      </c>
      <c r="E163">
        <v>76</v>
      </c>
      <c r="F163">
        <v>2</v>
      </c>
      <c r="G163">
        <v>25</v>
      </c>
      <c r="H163">
        <v>2</v>
      </c>
      <c r="I163" t="s">
        <v>21</v>
      </c>
      <c r="J163">
        <v>700</v>
      </c>
      <c r="K163">
        <v>2</v>
      </c>
      <c r="L163">
        <v>0</v>
      </c>
      <c r="M163">
        <v>2</v>
      </c>
      <c r="N163">
        <v>0.1</v>
      </c>
      <c r="O163">
        <v>1000000</v>
      </c>
      <c r="P163" s="2">
        <v>610</v>
      </c>
      <c r="Q163">
        <v>6.47</v>
      </c>
      <c r="R163">
        <v>4.1900000000000004</v>
      </c>
      <c r="S163">
        <v>0.1961</v>
      </c>
      <c r="T163">
        <v>0.56079011098986997</v>
      </c>
      <c r="U163" s="11">
        <f t="shared" si="4"/>
        <v>941154.45448609907</v>
      </c>
      <c r="V163" s="7"/>
      <c r="W163" s="7">
        <f t="shared" si="5"/>
        <v>7.043536025543581E-7</v>
      </c>
    </row>
    <row r="164" spans="1:23" x14ac:dyDescent="0.3">
      <c r="A164" t="s">
        <v>84</v>
      </c>
      <c r="B164" t="s">
        <v>139</v>
      </c>
      <c r="C164" s="2" t="s">
        <v>9</v>
      </c>
      <c r="D164">
        <v>25</v>
      </c>
      <c r="E164">
        <v>76</v>
      </c>
      <c r="F164">
        <v>2</v>
      </c>
      <c r="G164">
        <v>25</v>
      </c>
      <c r="H164">
        <v>2</v>
      </c>
      <c r="I164" t="s">
        <v>21</v>
      </c>
      <c r="J164">
        <v>700</v>
      </c>
      <c r="K164">
        <v>2</v>
      </c>
      <c r="L164">
        <v>0</v>
      </c>
      <c r="M164">
        <v>2</v>
      </c>
      <c r="N164">
        <v>0.1</v>
      </c>
      <c r="O164">
        <v>1000000</v>
      </c>
      <c r="P164" s="2">
        <v>547</v>
      </c>
      <c r="Q164">
        <v>6.49</v>
      </c>
      <c r="R164">
        <v>4.2</v>
      </c>
      <c r="S164">
        <v>0.20710000000000001</v>
      </c>
      <c r="T164">
        <v>0.53784992938427523</v>
      </c>
      <c r="U164" s="11">
        <f t="shared" si="4"/>
        <v>938644.5954584803</v>
      </c>
      <c r="V164" s="7"/>
      <c r="W164" s="7">
        <f t="shared" si="5"/>
        <v>7.0182435860899017E-7</v>
      </c>
    </row>
    <row r="165" spans="1:23" x14ac:dyDescent="0.3">
      <c r="A165" t="s">
        <v>85</v>
      </c>
      <c r="B165" t="s">
        <v>139</v>
      </c>
      <c r="C165" s="2" t="s">
        <v>9</v>
      </c>
      <c r="D165">
        <v>25</v>
      </c>
      <c r="E165">
        <v>76</v>
      </c>
      <c r="F165">
        <v>2</v>
      </c>
      <c r="G165">
        <v>25</v>
      </c>
      <c r="H165">
        <v>2</v>
      </c>
      <c r="I165" t="s">
        <v>21</v>
      </c>
      <c r="J165">
        <v>700</v>
      </c>
      <c r="K165">
        <v>2</v>
      </c>
      <c r="L165">
        <v>0</v>
      </c>
      <c r="M165">
        <v>2</v>
      </c>
      <c r="N165">
        <v>0.5</v>
      </c>
      <c r="O165">
        <v>1000000</v>
      </c>
      <c r="P165" s="2">
        <v>699</v>
      </c>
      <c r="Q165">
        <v>6.49</v>
      </c>
      <c r="R165">
        <v>4.2</v>
      </c>
      <c r="S165">
        <v>0.20710000000000001</v>
      </c>
      <c r="T165">
        <v>0.53784992938427523</v>
      </c>
      <c r="U165" s="11">
        <f t="shared" si="4"/>
        <v>938644.5954584803</v>
      </c>
      <c r="V165" s="7"/>
      <c r="W165" s="7">
        <f t="shared" si="5"/>
        <v>7.0752632359667223E-7</v>
      </c>
    </row>
    <row r="166" spans="1:23" x14ac:dyDescent="0.3">
      <c r="A166" t="s">
        <v>86</v>
      </c>
      <c r="B166" t="s">
        <v>139</v>
      </c>
      <c r="C166" s="2" t="s">
        <v>9</v>
      </c>
      <c r="D166">
        <v>25</v>
      </c>
      <c r="E166">
        <v>76</v>
      </c>
      <c r="F166">
        <v>2</v>
      </c>
      <c r="G166">
        <v>25</v>
      </c>
      <c r="H166">
        <v>2</v>
      </c>
      <c r="I166" t="s">
        <v>21</v>
      </c>
      <c r="J166">
        <v>500</v>
      </c>
      <c r="K166">
        <v>24</v>
      </c>
      <c r="L166">
        <v>0</v>
      </c>
      <c r="M166">
        <v>2</v>
      </c>
      <c r="N166">
        <v>0</v>
      </c>
      <c r="O166">
        <v>1000000</v>
      </c>
      <c r="P166" s="2">
        <v>700</v>
      </c>
      <c r="Q166">
        <v>6.47</v>
      </c>
      <c r="R166">
        <v>4.1900000000000004</v>
      </c>
      <c r="S166">
        <v>0.1961</v>
      </c>
      <c r="T166">
        <v>0.56079011098986997</v>
      </c>
      <c r="U166" s="11">
        <f t="shared" si="4"/>
        <v>941154.45448609907</v>
      </c>
      <c r="V166" s="7"/>
      <c r="W166" s="7">
        <f t="shared" si="5"/>
        <v>7.0755970304400871E-7</v>
      </c>
    </row>
    <row r="167" spans="1:23" x14ac:dyDescent="0.3">
      <c r="A167" t="s">
        <v>87</v>
      </c>
      <c r="B167" t="s">
        <v>139</v>
      </c>
      <c r="C167" s="2" t="s">
        <v>9</v>
      </c>
      <c r="D167">
        <v>25</v>
      </c>
      <c r="E167">
        <v>76</v>
      </c>
      <c r="F167">
        <v>2</v>
      </c>
      <c r="G167">
        <v>25</v>
      </c>
      <c r="H167">
        <v>2</v>
      </c>
      <c r="I167" t="s">
        <v>21</v>
      </c>
      <c r="J167">
        <v>500</v>
      </c>
      <c r="K167">
        <v>24</v>
      </c>
      <c r="L167">
        <v>0</v>
      </c>
      <c r="M167">
        <v>2</v>
      </c>
      <c r="N167">
        <v>0</v>
      </c>
      <c r="O167">
        <v>1000000</v>
      </c>
      <c r="P167" s="2">
        <v>730</v>
      </c>
      <c r="Q167">
        <v>6.47</v>
      </c>
      <c r="R167">
        <v>4.1900000000000004</v>
      </c>
      <c r="S167">
        <v>0.1961</v>
      </c>
      <c r="T167">
        <v>0.56079011098986997</v>
      </c>
      <c r="U167" s="11">
        <f t="shared" si="4"/>
        <v>941154.45448609907</v>
      </c>
      <c r="V167" s="7"/>
      <c r="W167" s="7">
        <f t="shared" si="5"/>
        <v>7.085402236252149E-7</v>
      </c>
    </row>
    <row r="168" spans="1:23" x14ac:dyDescent="0.3">
      <c r="A168" t="s">
        <v>88</v>
      </c>
      <c r="B168" t="s">
        <v>139</v>
      </c>
      <c r="C168" s="2" t="s">
        <v>9</v>
      </c>
      <c r="D168">
        <v>25</v>
      </c>
      <c r="E168">
        <v>76</v>
      </c>
      <c r="F168">
        <v>2</v>
      </c>
      <c r="G168">
        <v>25</v>
      </c>
      <c r="H168">
        <v>2</v>
      </c>
      <c r="I168" t="s">
        <v>21</v>
      </c>
      <c r="J168">
        <v>500</v>
      </c>
      <c r="K168">
        <v>24</v>
      </c>
      <c r="L168">
        <v>0</v>
      </c>
      <c r="M168">
        <v>2</v>
      </c>
      <c r="N168">
        <v>0</v>
      </c>
      <c r="O168">
        <v>1000000</v>
      </c>
      <c r="P168" s="2">
        <v>875</v>
      </c>
      <c r="Q168">
        <v>6.47</v>
      </c>
      <c r="R168">
        <v>4.1900000000000004</v>
      </c>
      <c r="S168">
        <v>0.1961</v>
      </c>
      <c r="T168">
        <v>0.53784992938427523</v>
      </c>
      <c r="U168" s="11">
        <f t="shared" si="4"/>
        <v>938644.5954584803</v>
      </c>
      <c r="V168" s="7"/>
      <c r="W168" s="7">
        <f t="shared" si="5"/>
        <v>7.1278921750021132E-7</v>
      </c>
    </row>
    <row r="169" spans="1:23" x14ac:dyDescent="0.3">
      <c r="A169" t="s">
        <v>89</v>
      </c>
      <c r="B169" t="s">
        <v>139</v>
      </c>
      <c r="C169" s="2" t="s">
        <v>4</v>
      </c>
      <c r="D169">
        <v>25</v>
      </c>
      <c r="E169">
        <v>76</v>
      </c>
      <c r="F169">
        <v>2</v>
      </c>
      <c r="G169">
        <v>1050</v>
      </c>
      <c r="H169">
        <v>0.25</v>
      </c>
      <c r="I169" t="s">
        <v>21</v>
      </c>
      <c r="J169">
        <v>500</v>
      </c>
      <c r="K169">
        <v>24</v>
      </c>
      <c r="L169">
        <v>0</v>
      </c>
      <c r="M169">
        <v>2</v>
      </c>
      <c r="N169">
        <v>0</v>
      </c>
      <c r="O169">
        <v>1000000</v>
      </c>
      <c r="P169" s="2">
        <v>690</v>
      </c>
      <c r="Q169">
        <v>6.47</v>
      </c>
      <c r="R169">
        <v>4.1900000000000004</v>
      </c>
      <c r="S169">
        <v>0.1961</v>
      </c>
      <c r="T169">
        <v>0.53784992938427523</v>
      </c>
      <c r="U169" s="11">
        <f t="shared" si="4"/>
        <v>938644.5954584803</v>
      </c>
      <c r="V169" s="7"/>
      <c r="W169" s="7">
        <f t="shared" si="5"/>
        <v>7.0722381339892029E-7</v>
      </c>
    </row>
    <row r="170" spans="1:23" x14ac:dyDescent="0.3">
      <c r="A170" t="s">
        <v>90</v>
      </c>
      <c r="B170" t="s">
        <v>139</v>
      </c>
      <c r="C170" s="2" t="s">
        <v>9</v>
      </c>
      <c r="D170">
        <v>25</v>
      </c>
      <c r="E170">
        <v>76</v>
      </c>
      <c r="F170">
        <v>2</v>
      </c>
      <c r="G170">
        <v>25</v>
      </c>
      <c r="H170">
        <v>2</v>
      </c>
      <c r="I170" t="s">
        <v>21</v>
      </c>
      <c r="J170">
        <v>1300</v>
      </c>
      <c r="K170">
        <v>4</v>
      </c>
      <c r="L170">
        <v>0</v>
      </c>
      <c r="M170">
        <v>2</v>
      </c>
      <c r="N170">
        <v>-1</v>
      </c>
      <c r="O170">
        <v>1000000</v>
      </c>
      <c r="P170" s="2">
        <v>630</v>
      </c>
      <c r="Q170">
        <v>6.4</v>
      </c>
      <c r="R170">
        <v>4</v>
      </c>
      <c r="S170">
        <v>0.19</v>
      </c>
      <c r="T170">
        <v>0.56079011098986997</v>
      </c>
      <c r="U170" s="11">
        <f t="shared" si="4"/>
        <v>941154.45448609907</v>
      </c>
      <c r="V170" s="7"/>
      <c r="W170" s="7">
        <f t="shared" si="5"/>
        <v>7.0510386264943844E-7</v>
      </c>
    </row>
    <row r="171" spans="1:23" x14ac:dyDescent="0.3">
      <c r="A171" t="s">
        <v>91</v>
      </c>
      <c r="B171" t="s">
        <v>139</v>
      </c>
      <c r="C171" s="2" t="s">
        <v>9</v>
      </c>
      <c r="D171">
        <v>25</v>
      </c>
      <c r="E171">
        <v>76</v>
      </c>
      <c r="F171">
        <v>2</v>
      </c>
      <c r="G171">
        <v>25</v>
      </c>
      <c r="H171">
        <v>2</v>
      </c>
      <c r="I171" t="s">
        <v>21</v>
      </c>
      <c r="J171">
        <v>1300</v>
      </c>
      <c r="K171">
        <v>4</v>
      </c>
      <c r="L171">
        <v>0</v>
      </c>
      <c r="M171">
        <v>2</v>
      </c>
      <c r="N171">
        <v>0</v>
      </c>
      <c r="O171">
        <v>1000000</v>
      </c>
      <c r="P171" s="2">
        <v>282.17</v>
      </c>
      <c r="Q171">
        <v>8.67</v>
      </c>
      <c r="R171">
        <v>18.7</v>
      </c>
      <c r="S171">
        <v>0.57100000000000006</v>
      </c>
      <c r="T171">
        <v>0.52213337521648806</v>
      </c>
      <c r="U171" s="11">
        <f t="shared" si="4"/>
        <v>936797.75787878444</v>
      </c>
      <c r="V171" s="7"/>
      <c r="W171" s="7">
        <f t="shared" si="5"/>
        <v>6.8665994332456745E-7</v>
      </c>
    </row>
    <row r="172" spans="1:23" x14ac:dyDescent="0.3">
      <c r="A172" t="s">
        <v>92</v>
      </c>
      <c r="B172" t="s">
        <v>139</v>
      </c>
      <c r="C172" s="2" t="s">
        <v>9</v>
      </c>
      <c r="D172">
        <v>25</v>
      </c>
      <c r="E172">
        <v>76</v>
      </c>
      <c r="F172">
        <v>2</v>
      </c>
      <c r="G172">
        <v>25</v>
      </c>
      <c r="H172">
        <v>2</v>
      </c>
      <c r="I172" t="s">
        <v>21</v>
      </c>
      <c r="J172">
        <v>1300</v>
      </c>
      <c r="K172">
        <v>4</v>
      </c>
      <c r="L172">
        <v>0</v>
      </c>
      <c r="M172">
        <v>2</v>
      </c>
      <c r="N172">
        <v>0</v>
      </c>
      <c r="O172">
        <v>1000000</v>
      </c>
      <c r="P172" s="2">
        <v>218.83</v>
      </c>
      <c r="Q172">
        <v>8.67</v>
      </c>
      <c r="R172">
        <v>18.7</v>
      </c>
      <c r="S172">
        <v>0.57100000000000006</v>
      </c>
      <c r="T172">
        <v>0.54440322001040764</v>
      </c>
      <c r="U172" s="11">
        <f t="shared" si="4"/>
        <v>939383.16529544198</v>
      </c>
      <c r="V172" s="7"/>
      <c r="W172" s="7">
        <f t="shared" si="5"/>
        <v>6.8092359293847772E-7</v>
      </c>
    </row>
    <row r="173" spans="1:23" x14ac:dyDescent="0.3">
      <c r="A173" t="s">
        <v>93</v>
      </c>
      <c r="B173" t="s">
        <v>139</v>
      </c>
      <c r="C173" s="2" t="s">
        <v>9</v>
      </c>
      <c r="D173">
        <v>25</v>
      </c>
      <c r="E173">
        <v>76</v>
      </c>
      <c r="F173">
        <v>2</v>
      </c>
      <c r="G173">
        <v>25</v>
      </c>
      <c r="H173">
        <v>2</v>
      </c>
      <c r="I173" t="s">
        <v>21</v>
      </c>
      <c r="J173">
        <v>1300</v>
      </c>
      <c r="K173">
        <v>4</v>
      </c>
      <c r="L173">
        <v>0</v>
      </c>
      <c r="M173">
        <v>2</v>
      </c>
      <c r="N173">
        <v>0</v>
      </c>
      <c r="O173">
        <v>1000000</v>
      </c>
      <c r="P173" s="2">
        <v>312.44</v>
      </c>
      <c r="Q173">
        <v>8.67</v>
      </c>
      <c r="R173">
        <v>18.7</v>
      </c>
      <c r="S173">
        <v>0.57100000000000006</v>
      </c>
      <c r="T173">
        <v>0.52213337521648806</v>
      </c>
      <c r="U173" s="11">
        <f t="shared" si="4"/>
        <v>936797.75787878444</v>
      </c>
      <c r="V173" s="7"/>
      <c r="W173" s="7">
        <f t="shared" si="5"/>
        <v>6.8897292330706588E-7</v>
      </c>
    </row>
    <row r="174" spans="1:23" x14ac:dyDescent="0.3">
      <c r="A174" t="s">
        <v>94</v>
      </c>
      <c r="B174" t="s">
        <v>139</v>
      </c>
      <c r="C174" s="2" t="s">
        <v>4</v>
      </c>
      <c r="D174">
        <v>25</v>
      </c>
      <c r="E174">
        <v>76</v>
      </c>
      <c r="F174">
        <v>2</v>
      </c>
      <c r="G174">
        <v>970</v>
      </c>
      <c r="H174">
        <v>0.5</v>
      </c>
      <c r="I174" t="s">
        <v>21</v>
      </c>
      <c r="J174">
        <v>700</v>
      </c>
      <c r="K174">
        <v>0.5</v>
      </c>
      <c r="L174">
        <v>0</v>
      </c>
      <c r="M174">
        <v>2</v>
      </c>
      <c r="N174">
        <v>0</v>
      </c>
      <c r="O174">
        <v>1000000</v>
      </c>
      <c r="P174" s="2">
        <v>295.63</v>
      </c>
      <c r="Q174">
        <v>8.67</v>
      </c>
      <c r="R174">
        <v>18.7</v>
      </c>
      <c r="S174">
        <v>0.57100000000000006</v>
      </c>
      <c r="T174">
        <v>0.54914904693240685</v>
      </c>
      <c r="U174" s="11">
        <f t="shared" si="4"/>
        <v>939907.02490636962</v>
      </c>
      <c r="V174" s="7"/>
      <c r="W174" s="7">
        <f t="shared" si="5"/>
        <v>6.8771667740361896E-7</v>
      </c>
    </row>
    <row r="175" spans="1:23" x14ac:dyDescent="0.3">
      <c r="A175" t="s">
        <v>95</v>
      </c>
      <c r="B175" t="s">
        <v>139</v>
      </c>
      <c r="C175" s="2" t="s">
        <v>4</v>
      </c>
      <c r="D175">
        <v>25</v>
      </c>
      <c r="E175">
        <v>76</v>
      </c>
      <c r="F175">
        <v>2</v>
      </c>
      <c r="G175">
        <v>970</v>
      </c>
      <c r="H175">
        <v>0.5</v>
      </c>
      <c r="I175" t="s">
        <v>21</v>
      </c>
      <c r="J175">
        <v>700</v>
      </c>
      <c r="K175">
        <v>0.5</v>
      </c>
      <c r="L175">
        <v>0</v>
      </c>
      <c r="M175">
        <v>2</v>
      </c>
      <c r="N175">
        <v>-1</v>
      </c>
      <c r="O175">
        <v>1001439</v>
      </c>
      <c r="P175" s="2">
        <v>340.73</v>
      </c>
      <c r="Q175">
        <v>6.42</v>
      </c>
      <c r="R175">
        <v>4.01</v>
      </c>
      <c r="S175">
        <v>0.23100000000000001</v>
      </c>
      <c r="T175">
        <v>0.56567879038870927</v>
      </c>
      <c r="U175" s="11">
        <f t="shared" si="4"/>
        <v>943018.05942117563</v>
      </c>
      <c r="V175" s="7"/>
      <c r="W175" s="7">
        <f t="shared" si="5"/>
        <v>6.9094646299965781E-7</v>
      </c>
    </row>
    <row r="176" spans="1:23" x14ac:dyDescent="0.3">
      <c r="A176" t="s">
        <v>96</v>
      </c>
      <c r="B176" t="s">
        <v>139</v>
      </c>
      <c r="C176" s="2" t="s">
        <v>9</v>
      </c>
      <c r="D176">
        <v>25</v>
      </c>
      <c r="E176">
        <v>76</v>
      </c>
      <c r="F176">
        <v>2</v>
      </c>
      <c r="G176">
        <v>25</v>
      </c>
      <c r="H176">
        <v>1</v>
      </c>
      <c r="I176" t="s">
        <v>21</v>
      </c>
      <c r="J176">
        <v>600</v>
      </c>
      <c r="K176">
        <v>8</v>
      </c>
      <c r="L176">
        <v>0</v>
      </c>
      <c r="M176">
        <v>2</v>
      </c>
      <c r="N176">
        <v>-1</v>
      </c>
      <c r="O176">
        <v>1834944</v>
      </c>
      <c r="P176" s="2">
        <v>901.85</v>
      </c>
      <c r="Q176">
        <v>6.42</v>
      </c>
      <c r="R176">
        <v>4.01</v>
      </c>
      <c r="S176">
        <v>0.23100000000000001</v>
      </c>
      <c r="T176">
        <v>0.53784992938427523</v>
      </c>
      <c r="U176" s="11">
        <f t="shared" si="4"/>
        <v>1722360.2685689658</v>
      </c>
      <c r="V176" s="7"/>
      <c r="W176" s="7">
        <f t="shared" si="5"/>
        <v>7.1350051001892925E-7</v>
      </c>
    </row>
    <row r="177" spans="1:23" x14ac:dyDescent="0.3">
      <c r="A177" t="s">
        <v>97</v>
      </c>
      <c r="B177" t="s">
        <v>139</v>
      </c>
      <c r="C177" s="2" t="s">
        <v>4</v>
      </c>
      <c r="D177">
        <v>25</v>
      </c>
      <c r="E177">
        <v>76</v>
      </c>
      <c r="F177">
        <v>2</v>
      </c>
      <c r="G177">
        <v>970</v>
      </c>
      <c r="H177">
        <v>0.5</v>
      </c>
      <c r="I177" t="s">
        <v>21</v>
      </c>
      <c r="J177">
        <v>700</v>
      </c>
      <c r="K177">
        <v>0.5</v>
      </c>
      <c r="L177">
        <v>0</v>
      </c>
      <c r="M177">
        <v>2</v>
      </c>
      <c r="N177">
        <v>0.1</v>
      </c>
      <c r="O177">
        <v>2600000</v>
      </c>
      <c r="P177" s="2">
        <v>703</v>
      </c>
      <c r="Q177">
        <v>8.15</v>
      </c>
      <c r="R177">
        <v>5.8</v>
      </c>
      <c r="S177">
        <v>6.3E-2</v>
      </c>
      <c r="T177">
        <v>1.0087984758717261</v>
      </c>
      <c r="U177" s="11">
        <f t="shared" si="4"/>
        <v>2514948.3251093752</v>
      </c>
      <c r="V177" s="7"/>
      <c r="W177" s="7">
        <f t="shared" si="5"/>
        <v>7.0765956542524853E-7</v>
      </c>
    </row>
    <row r="178" spans="1:23" x14ac:dyDescent="0.3">
      <c r="A178" t="s">
        <v>98</v>
      </c>
      <c r="B178" t="s">
        <v>139</v>
      </c>
      <c r="C178" s="2" t="s">
        <v>4</v>
      </c>
      <c r="D178">
        <v>25</v>
      </c>
      <c r="E178">
        <v>76</v>
      </c>
      <c r="F178">
        <v>2</v>
      </c>
      <c r="G178">
        <v>970</v>
      </c>
      <c r="H178">
        <v>0.5</v>
      </c>
      <c r="I178" t="s">
        <v>21</v>
      </c>
      <c r="J178">
        <v>700</v>
      </c>
      <c r="K178">
        <v>0.5</v>
      </c>
      <c r="L178">
        <v>0</v>
      </c>
      <c r="M178">
        <v>2</v>
      </c>
      <c r="N178">
        <v>-1</v>
      </c>
      <c r="O178">
        <v>2683559</v>
      </c>
      <c r="P178" s="2">
        <v>853.92</v>
      </c>
      <c r="Q178">
        <v>6.42</v>
      </c>
      <c r="R178">
        <v>4.01</v>
      </c>
      <c r="S178">
        <v>0.23100000000000001</v>
      </c>
      <c r="T178">
        <v>0.58980591855772457</v>
      </c>
      <c r="U178" s="11">
        <f t="shared" si="4"/>
        <v>2533412.2411872824</v>
      </c>
      <c r="V178" s="7"/>
      <c r="W178" s="7">
        <f t="shared" si="5"/>
        <v>7.1221583088649703E-7</v>
      </c>
    </row>
    <row r="179" spans="1:23" x14ac:dyDescent="0.3">
      <c r="A179" t="s">
        <v>99</v>
      </c>
      <c r="B179" t="s">
        <v>139</v>
      </c>
      <c r="C179" s="2" t="s">
        <v>4</v>
      </c>
      <c r="D179">
        <v>25</v>
      </c>
      <c r="E179">
        <v>76</v>
      </c>
      <c r="F179">
        <v>2</v>
      </c>
      <c r="G179">
        <v>970</v>
      </c>
      <c r="H179">
        <v>0.5</v>
      </c>
      <c r="I179" t="s">
        <v>21</v>
      </c>
      <c r="J179">
        <v>700</v>
      </c>
      <c r="K179">
        <v>0.5</v>
      </c>
      <c r="L179">
        <v>0</v>
      </c>
      <c r="M179">
        <v>2</v>
      </c>
      <c r="N179">
        <v>-1</v>
      </c>
      <c r="O179">
        <v>3589513</v>
      </c>
      <c r="P179" s="2">
        <v>672.47</v>
      </c>
      <c r="Q179">
        <v>6.42</v>
      </c>
      <c r="R179">
        <v>4.01</v>
      </c>
      <c r="S179">
        <v>0.23100000000000001</v>
      </c>
      <c r="T179">
        <v>0.58980591855772457</v>
      </c>
      <c r="U179" s="11">
        <f t="shared" si="4"/>
        <v>3388677.5636760308</v>
      </c>
      <c r="V179" s="7"/>
      <c r="W179" s="7">
        <f t="shared" si="5"/>
        <v>7.0662347606594085E-7</v>
      </c>
    </row>
    <row r="180" spans="1:23" x14ac:dyDescent="0.3">
      <c r="A180" t="s">
        <v>100</v>
      </c>
      <c r="B180" t="s">
        <v>139</v>
      </c>
      <c r="C180" s="2" t="s">
        <v>9</v>
      </c>
      <c r="D180">
        <v>25</v>
      </c>
      <c r="E180">
        <v>76</v>
      </c>
      <c r="F180">
        <v>2</v>
      </c>
      <c r="G180">
        <v>25</v>
      </c>
      <c r="H180">
        <v>1</v>
      </c>
      <c r="I180" t="s">
        <v>21</v>
      </c>
      <c r="J180">
        <v>25</v>
      </c>
      <c r="K180">
        <v>2</v>
      </c>
      <c r="L180">
        <v>0</v>
      </c>
      <c r="M180">
        <v>2</v>
      </c>
      <c r="N180">
        <v>-1</v>
      </c>
      <c r="O180">
        <v>4185837</v>
      </c>
      <c r="P180" s="2">
        <v>556.06299999999999</v>
      </c>
      <c r="Q180">
        <v>6.42</v>
      </c>
      <c r="R180">
        <v>4.01</v>
      </c>
      <c r="S180">
        <v>0.23100000000000001</v>
      </c>
      <c r="T180">
        <v>0.56079011098986997</v>
      </c>
      <c r="U180" s="11">
        <f t="shared" si="4"/>
        <v>3939519.1383027295</v>
      </c>
      <c r="V180" s="7"/>
      <c r="W180" s="7">
        <f t="shared" si="5"/>
        <v>7.0220504869664947E-7</v>
      </c>
    </row>
    <row r="181" spans="1:23" x14ac:dyDescent="0.3">
      <c r="A181" t="s">
        <v>101</v>
      </c>
      <c r="B181" t="s">
        <v>139</v>
      </c>
      <c r="C181" s="2" t="s">
        <v>4</v>
      </c>
      <c r="D181">
        <v>25</v>
      </c>
      <c r="E181">
        <v>76</v>
      </c>
      <c r="F181">
        <v>2</v>
      </c>
      <c r="G181">
        <v>970</v>
      </c>
      <c r="H181">
        <v>0.5</v>
      </c>
      <c r="I181" t="s">
        <v>21</v>
      </c>
      <c r="J181">
        <v>700</v>
      </c>
      <c r="K181">
        <v>0.5</v>
      </c>
      <c r="L181">
        <v>0</v>
      </c>
      <c r="M181">
        <v>2</v>
      </c>
      <c r="N181">
        <v>-1</v>
      </c>
      <c r="O181">
        <v>4740000</v>
      </c>
      <c r="P181" s="2">
        <v>540</v>
      </c>
      <c r="Q181">
        <v>6.34</v>
      </c>
      <c r="R181">
        <v>4.1100000000000003</v>
      </c>
      <c r="S181">
        <v>0.24000000000000002</v>
      </c>
      <c r="T181">
        <v>0.58980591855772457</v>
      </c>
      <c r="U181" s="11">
        <f t="shared" si="4"/>
        <v>4474794.1160331182</v>
      </c>
      <c r="V181" s="7"/>
      <c r="W181" s="7">
        <f t="shared" si="5"/>
        <v>7.0152612637489846E-7</v>
      </c>
    </row>
    <row r="182" spans="1:23" x14ac:dyDescent="0.3">
      <c r="A182" t="s">
        <v>102</v>
      </c>
      <c r="B182" t="s">
        <v>139</v>
      </c>
      <c r="C182" s="2" t="s">
        <v>4</v>
      </c>
      <c r="D182">
        <v>25</v>
      </c>
      <c r="E182">
        <v>76</v>
      </c>
      <c r="F182">
        <v>2</v>
      </c>
      <c r="G182">
        <v>970</v>
      </c>
      <c r="H182">
        <v>0.5</v>
      </c>
      <c r="I182" t="s">
        <v>21</v>
      </c>
      <c r="J182">
        <v>700</v>
      </c>
      <c r="K182">
        <v>0.5</v>
      </c>
      <c r="L182">
        <v>0</v>
      </c>
      <c r="M182">
        <v>2</v>
      </c>
      <c r="N182">
        <v>-1</v>
      </c>
      <c r="O182">
        <v>4805097</v>
      </c>
      <c r="P182" s="2">
        <v>464.76</v>
      </c>
      <c r="Q182">
        <v>6.42</v>
      </c>
      <c r="R182">
        <v>4.01</v>
      </c>
      <c r="S182">
        <v>0.23100000000000001</v>
      </c>
      <c r="T182">
        <v>0.58980591855772457</v>
      </c>
      <c r="U182" s="11">
        <f t="shared" si="4"/>
        <v>4536248.8992760312</v>
      </c>
      <c r="V182" s="7"/>
      <c r="W182" s="7">
        <f t="shared" si="5"/>
        <v>6.9806104681474371E-7</v>
      </c>
    </row>
    <row r="183" spans="1:23" x14ac:dyDescent="0.3">
      <c r="A183" t="s">
        <v>103</v>
      </c>
      <c r="B183" t="s">
        <v>139</v>
      </c>
      <c r="C183" s="2" t="s">
        <v>9</v>
      </c>
      <c r="D183">
        <v>25</v>
      </c>
      <c r="E183">
        <v>76</v>
      </c>
      <c r="F183">
        <v>2</v>
      </c>
      <c r="G183">
        <v>25</v>
      </c>
      <c r="H183">
        <v>2</v>
      </c>
      <c r="I183" t="s">
        <v>21</v>
      </c>
      <c r="J183">
        <v>600</v>
      </c>
      <c r="K183">
        <v>8</v>
      </c>
      <c r="L183">
        <v>0</v>
      </c>
      <c r="M183">
        <v>2</v>
      </c>
      <c r="N183">
        <v>-1</v>
      </c>
      <c r="O183">
        <v>5344083</v>
      </c>
      <c r="P183" s="2">
        <v>404.28</v>
      </c>
      <c r="Q183">
        <v>6.42</v>
      </c>
      <c r="R183">
        <v>4.01</v>
      </c>
      <c r="S183">
        <v>0.23100000000000001</v>
      </c>
      <c r="T183">
        <v>0.56079011098986997</v>
      </c>
      <c r="U183" s="11">
        <f t="shared" si="4"/>
        <v>5029607.5205934355</v>
      </c>
      <c r="V183" s="7"/>
      <c r="W183" s="7">
        <f t="shared" si="5"/>
        <v>6.94856893108659E-7</v>
      </c>
    </row>
    <row r="184" spans="1:23" x14ac:dyDescent="0.3">
      <c r="A184" t="s">
        <v>104</v>
      </c>
      <c r="B184" t="s">
        <v>139</v>
      </c>
      <c r="C184" s="2" t="s">
        <v>9</v>
      </c>
      <c r="D184">
        <v>25</v>
      </c>
      <c r="E184">
        <v>76</v>
      </c>
      <c r="F184">
        <v>2</v>
      </c>
      <c r="G184">
        <v>25</v>
      </c>
      <c r="H184">
        <v>2</v>
      </c>
      <c r="I184" t="s">
        <v>21</v>
      </c>
      <c r="J184">
        <v>25</v>
      </c>
      <c r="K184">
        <v>1</v>
      </c>
      <c r="L184">
        <v>0</v>
      </c>
      <c r="M184">
        <v>2</v>
      </c>
      <c r="N184">
        <v>0.1</v>
      </c>
      <c r="O184">
        <v>6000000</v>
      </c>
      <c r="P184" s="2">
        <v>621</v>
      </c>
      <c r="Q184">
        <v>8.15</v>
      </c>
      <c r="R184">
        <v>5.8</v>
      </c>
      <c r="S184">
        <v>6.3E-2</v>
      </c>
      <c r="T184">
        <v>1.0087984758717261</v>
      </c>
      <c r="U184" s="11">
        <f t="shared" si="4"/>
        <v>5803726.9040985582</v>
      </c>
      <c r="V184" s="7"/>
      <c r="W184" s="7">
        <f t="shared" si="5"/>
        <v>7.047691388301524E-7</v>
      </c>
    </row>
    <row r="185" spans="1:23" x14ac:dyDescent="0.3">
      <c r="A185" t="s">
        <v>105</v>
      </c>
      <c r="B185" t="s">
        <v>139</v>
      </c>
      <c r="C185" s="2" t="s">
        <v>9</v>
      </c>
      <c r="D185">
        <v>25</v>
      </c>
      <c r="E185">
        <v>76</v>
      </c>
      <c r="F185">
        <v>2</v>
      </c>
      <c r="G185">
        <v>25</v>
      </c>
      <c r="H185">
        <v>2</v>
      </c>
      <c r="I185" t="s">
        <v>21</v>
      </c>
      <c r="J185">
        <v>25</v>
      </c>
      <c r="K185">
        <v>1</v>
      </c>
      <c r="L185">
        <v>0</v>
      </c>
      <c r="M185">
        <v>2</v>
      </c>
      <c r="N185">
        <v>-1</v>
      </c>
      <c r="O185">
        <v>10000000</v>
      </c>
      <c r="P185" s="2">
        <v>500</v>
      </c>
      <c r="Q185">
        <v>10.149000000000001</v>
      </c>
      <c r="R185">
        <v>4.95</v>
      </c>
      <c r="S185">
        <v>0.1615</v>
      </c>
      <c r="T185">
        <v>1.0099075945242479</v>
      </c>
      <c r="U185" s="11">
        <f t="shared" si="4"/>
        <v>9673237.4310389683</v>
      </c>
      <c r="V185" s="7"/>
      <c r="W185" s="7">
        <f t="shared" si="5"/>
        <v>6.9974671095948523E-7</v>
      </c>
    </row>
    <row r="186" spans="1:23" x14ac:dyDescent="0.3">
      <c r="A186" t="s">
        <v>106</v>
      </c>
      <c r="B186" t="s">
        <v>139</v>
      </c>
      <c r="C186" s="2" t="s">
        <v>4</v>
      </c>
      <c r="D186">
        <v>25</v>
      </c>
      <c r="E186">
        <v>76</v>
      </c>
      <c r="F186">
        <v>2</v>
      </c>
      <c r="G186">
        <v>970</v>
      </c>
      <c r="H186">
        <v>0.5</v>
      </c>
      <c r="I186" t="s">
        <v>21</v>
      </c>
      <c r="J186">
        <v>700</v>
      </c>
      <c r="K186">
        <v>0.5</v>
      </c>
      <c r="L186">
        <v>0</v>
      </c>
      <c r="M186">
        <v>2</v>
      </c>
      <c r="N186">
        <v>0.1</v>
      </c>
      <c r="O186">
        <v>10000000</v>
      </c>
      <c r="P186" s="2">
        <v>460</v>
      </c>
      <c r="Q186">
        <v>10.149000000000001</v>
      </c>
      <c r="R186">
        <v>4.95</v>
      </c>
      <c r="S186">
        <v>0.1615</v>
      </c>
      <c r="T186">
        <v>1.0099075945242479</v>
      </c>
      <c r="U186" s="11">
        <f t="shared" si="4"/>
        <v>9673237.4310389683</v>
      </c>
      <c r="V186" s="7"/>
      <c r="W186" s="7">
        <f t="shared" si="5"/>
        <v>6.9782393929713368E-7</v>
      </c>
    </row>
    <row r="187" spans="1:23" x14ac:dyDescent="0.3">
      <c r="A187" t="s">
        <v>107</v>
      </c>
      <c r="B187" t="s">
        <v>139</v>
      </c>
      <c r="C187" s="2" t="s">
        <v>4</v>
      </c>
      <c r="D187">
        <v>25</v>
      </c>
      <c r="E187">
        <v>76</v>
      </c>
      <c r="F187">
        <v>2</v>
      </c>
      <c r="G187">
        <v>932</v>
      </c>
      <c r="H187">
        <v>1</v>
      </c>
      <c r="I187" t="s">
        <v>21</v>
      </c>
      <c r="J187">
        <v>704</v>
      </c>
      <c r="K187">
        <v>2</v>
      </c>
      <c r="L187">
        <v>0</v>
      </c>
      <c r="M187">
        <v>2</v>
      </c>
      <c r="N187">
        <v>-1</v>
      </c>
      <c r="O187">
        <v>10000000</v>
      </c>
      <c r="P187" s="2">
        <v>373.46699999999998</v>
      </c>
      <c r="Q187">
        <v>6.42</v>
      </c>
      <c r="R187">
        <v>4.01</v>
      </c>
      <c r="S187">
        <v>0.23100000000000001</v>
      </c>
      <c r="T187">
        <v>0.56079011098986997</v>
      </c>
      <c r="U187" s="11">
        <f t="shared" si="4"/>
        <v>9411544.5448609907</v>
      </c>
      <c r="V187" s="7"/>
      <c r="W187" s="7">
        <f t="shared" si="5"/>
        <v>6.9304140105534451E-7</v>
      </c>
    </row>
    <row r="188" spans="1:23" x14ac:dyDescent="0.3">
      <c r="A188" t="s">
        <v>22</v>
      </c>
      <c r="B188" t="s">
        <v>139</v>
      </c>
      <c r="C188" s="2" t="s">
        <v>4</v>
      </c>
      <c r="D188">
        <v>25</v>
      </c>
      <c r="E188">
        <v>76</v>
      </c>
      <c r="F188">
        <v>2</v>
      </c>
      <c r="G188">
        <v>932</v>
      </c>
      <c r="H188">
        <v>1</v>
      </c>
      <c r="I188" t="s">
        <v>21</v>
      </c>
      <c r="J188">
        <v>704</v>
      </c>
      <c r="K188">
        <v>2</v>
      </c>
      <c r="L188">
        <v>0</v>
      </c>
      <c r="M188">
        <v>2</v>
      </c>
      <c r="N188">
        <v>-1</v>
      </c>
      <c r="O188">
        <v>10000000</v>
      </c>
      <c r="P188" s="2">
        <v>390</v>
      </c>
      <c r="Q188">
        <v>6.47</v>
      </c>
      <c r="R188">
        <v>4.1900000000000004</v>
      </c>
      <c r="S188">
        <v>0.192</v>
      </c>
      <c r="T188">
        <v>0.56079011098986997</v>
      </c>
      <c r="U188" s="11">
        <f t="shared" si="4"/>
        <v>9411544.5448609907</v>
      </c>
      <c r="V188" s="7"/>
      <c r="W188" s="7">
        <f t="shared" si="5"/>
        <v>6.9403278721720643E-7</v>
      </c>
    </row>
    <row r="189" spans="1:23" x14ac:dyDescent="0.3">
      <c r="A189" t="s">
        <v>108</v>
      </c>
      <c r="B189" t="s">
        <v>139</v>
      </c>
      <c r="C189" s="2" t="s">
        <v>4</v>
      </c>
      <c r="D189">
        <v>25</v>
      </c>
      <c r="E189">
        <v>76</v>
      </c>
      <c r="F189">
        <v>2</v>
      </c>
      <c r="G189">
        <v>932</v>
      </c>
      <c r="H189">
        <v>1</v>
      </c>
      <c r="I189" t="s">
        <v>21</v>
      </c>
      <c r="J189">
        <v>704</v>
      </c>
      <c r="K189">
        <v>2</v>
      </c>
      <c r="L189">
        <v>0</v>
      </c>
      <c r="M189">
        <v>2</v>
      </c>
      <c r="N189">
        <v>0.1</v>
      </c>
      <c r="O189">
        <v>10000000</v>
      </c>
      <c r="P189" s="2">
        <v>556</v>
      </c>
      <c r="Q189">
        <v>6.47</v>
      </c>
      <c r="R189">
        <v>4.1900000000000004</v>
      </c>
      <c r="S189">
        <v>0.192</v>
      </c>
      <c r="T189">
        <v>0.56079011098986997</v>
      </c>
      <c r="U189" s="11">
        <f t="shared" si="4"/>
        <v>9411544.5448609907</v>
      </c>
      <c r="V189" s="7"/>
      <c r="W189" s="7">
        <f t="shared" si="5"/>
        <v>7.0220242315912406E-7</v>
      </c>
    </row>
    <row r="190" spans="1:23" x14ac:dyDescent="0.3">
      <c r="A190" t="s">
        <v>109</v>
      </c>
      <c r="B190" t="s">
        <v>139</v>
      </c>
      <c r="C190" s="2" t="s">
        <v>4</v>
      </c>
      <c r="D190">
        <v>25</v>
      </c>
      <c r="E190">
        <v>76</v>
      </c>
      <c r="F190">
        <v>2</v>
      </c>
      <c r="G190">
        <v>932</v>
      </c>
      <c r="H190">
        <v>1</v>
      </c>
      <c r="I190" t="s">
        <v>21</v>
      </c>
      <c r="J190">
        <v>704</v>
      </c>
      <c r="K190">
        <v>2</v>
      </c>
      <c r="L190">
        <v>0</v>
      </c>
      <c r="M190">
        <v>2</v>
      </c>
      <c r="N190">
        <v>0.5</v>
      </c>
      <c r="O190">
        <v>10000000</v>
      </c>
      <c r="P190" s="2">
        <v>640</v>
      </c>
      <c r="Q190">
        <v>6.47</v>
      </c>
      <c r="R190">
        <v>4.1900000000000004</v>
      </c>
      <c r="S190">
        <v>0.192</v>
      </c>
      <c r="T190">
        <v>0.56079011098986997</v>
      </c>
      <c r="U190" s="11">
        <f t="shared" si="4"/>
        <v>9411544.5448609907</v>
      </c>
      <c r="V190" s="7"/>
      <c r="W190" s="7">
        <f t="shared" si="5"/>
        <v>7.0547039738631123E-7</v>
      </c>
    </row>
    <row r="191" spans="1:23" x14ac:dyDescent="0.3">
      <c r="A191" t="s">
        <v>110</v>
      </c>
      <c r="B191" t="s">
        <v>139</v>
      </c>
      <c r="C191" s="2" t="s">
        <v>4</v>
      </c>
      <c r="D191">
        <v>25</v>
      </c>
      <c r="E191">
        <v>76</v>
      </c>
      <c r="F191">
        <v>2</v>
      </c>
      <c r="G191">
        <v>925</v>
      </c>
      <c r="H191">
        <v>1</v>
      </c>
      <c r="I191" t="s">
        <v>21</v>
      </c>
      <c r="J191">
        <v>700</v>
      </c>
      <c r="K191">
        <v>2</v>
      </c>
      <c r="L191">
        <v>0</v>
      </c>
      <c r="M191">
        <v>2</v>
      </c>
      <c r="N191">
        <v>0.8</v>
      </c>
      <c r="O191">
        <v>10000000</v>
      </c>
      <c r="P191" s="2">
        <v>900</v>
      </c>
      <c r="Q191">
        <v>6.47</v>
      </c>
      <c r="R191">
        <v>4.1900000000000004</v>
      </c>
      <c r="S191">
        <v>0.192</v>
      </c>
      <c r="T191">
        <v>0.56079011098986997</v>
      </c>
      <c r="U191" s="11">
        <f t="shared" si="4"/>
        <v>9411544.5448609907</v>
      </c>
      <c r="V191" s="7"/>
      <c r="W191" s="7">
        <f t="shared" si="5"/>
        <v>7.1345216221460716E-7</v>
      </c>
    </row>
    <row r="192" spans="1:23" x14ac:dyDescent="0.3">
      <c r="A192" t="s">
        <v>111</v>
      </c>
      <c r="B192" t="s">
        <v>139</v>
      </c>
      <c r="C192" s="2" t="s">
        <v>4</v>
      </c>
      <c r="D192">
        <v>25</v>
      </c>
      <c r="E192">
        <v>76</v>
      </c>
      <c r="F192">
        <v>2</v>
      </c>
      <c r="G192">
        <v>925</v>
      </c>
      <c r="H192">
        <v>1</v>
      </c>
      <c r="I192" t="s">
        <v>21</v>
      </c>
      <c r="J192">
        <v>700</v>
      </c>
      <c r="K192">
        <v>2</v>
      </c>
      <c r="L192">
        <v>0</v>
      </c>
      <c r="M192">
        <v>2</v>
      </c>
      <c r="N192">
        <v>0.1</v>
      </c>
      <c r="O192">
        <v>10000000</v>
      </c>
      <c r="P192" s="2">
        <v>540</v>
      </c>
      <c r="Q192">
        <v>6.47</v>
      </c>
      <c r="R192">
        <v>4.1900000000000004</v>
      </c>
      <c r="S192">
        <v>0.1961</v>
      </c>
      <c r="T192">
        <v>0.56079011098986997</v>
      </c>
      <c r="U192" s="11">
        <f t="shared" si="4"/>
        <v>9411544.5448609907</v>
      </c>
      <c r="V192" s="7"/>
      <c r="W192" s="7">
        <f t="shared" si="5"/>
        <v>7.0152612637489846E-7</v>
      </c>
    </row>
    <row r="193" spans="1:23" x14ac:dyDescent="0.3">
      <c r="A193" t="s">
        <v>112</v>
      </c>
      <c r="B193" t="s">
        <v>139</v>
      </c>
      <c r="C193" s="2" t="s">
        <v>9</v>
      </c>
      <c r="D193">
        <v>25</v>
      </c>
      <c r="E193">
        <v>76</v>
      </c>
      <c r="F193">
        <v>2</v>
      </c>
      <c r="G193">
        <v>25</v>
      </c>
      <c r="H193">
        <v>2</v>
      </c>
      <c r="I193" t="s">
        <v>21</v>
      </c>
      <c r="J193">
        <v>25</v>
      </c>
      <c r="K193">
        <v>2</v>
      </c>
      <c r="L193">
        <v>0</v>
      </c>
      <c r="M193">
        <v>2</v>
      </c>
      <c r="N193">
        <v>0.5</v>
      </c>
      <c r="O193">
        <v>10000000</v>
      </c>
      <c r="P193" s="2">
        <v>640</v>
      </c>
      <c r="Q193">
        <v>6.47</v>
      </c>
      <c r="R193">
        <v>4.1900000000000004</v>
      </c>
      <c r="S193">
        <v>0.1961</v>
      </c>
      <c r="T193">
        <v>0.56079011098986997</v>
      </c>
      <c r="U193" s="11">
        <f t="shared" si="4"/>
        <v>9411544.5448609907</v>
      </c>
      <c r="V193" s="7"/>
      <c r="W193" s="7">
        <f t="shared" si="5"/>
        <v>7.0547039738631123E-7</v>
      </c>
    </row>
    <row r="194" spans="1:23" x14ac:dyDescent="0.3">
      <c r="A194" t="s">
        <v>113</v>
      </c>
      <c r="B194" t="s">
        <v>139</v>
      </c>
      <c r="C194" s="2" t="s">
        <v>9</v>
      </c>
      <c r="D194">
        <v>25</v>
      </c>
      <c r="E194">
        <v>76</v>
      </c>
      <c r="F194">
        <v>2</v>
      </c>
      <c r="G194">
        <v>25</v>
      </c>
      <c r="H194">
        <v>2</v>
      </c>
      <c r="I194" t="s">
        <v>21</v>
      </c>
      <c r="J194">
        <v>700</v>
      </c>
      <c r="K194">
        <v>2</v>
      </c>
      <c r="L194">
        <v>0</v>
      </c>
      <c r="M194">
        <v>2</v>
      </c>
      <c r="N194">
        <v>-1</v>
      </c>
      <c r="O194">
        <v>10000000</v>
      </c>
      <c r="P194" s="2">
        <v>520</v>
      </c>
      <c r="Q194">
        <v>6.34</v>
      </c>
      <c r="R194">
        <v>4.1100000000000003</v>
      </c>
      <c r="S194">
        <v>0.24000000000000002</v>
      </c>
      <c r="T194">
        <v>0.56079011098986997</v>
      </c>
      <c r="U194" s="11">
        <f t="shared" si="4"/>
        <v>9411544.5448609907</v>
      </c>
      <c r="V194" s="7"/>
      <c r="W194" s="7">
        <f t="shared" si="5"/>
        <v>7.0065296795573415E-7</v>
      </c>
    </row>
    <row r="195" spans="1:23" x14ac:dyDescent="0.3">
      <c r="A195" t="s">
        <v>114</v>
      </c>
      <c r="B195" t="s">
        <v>139</v>
      </c>
      <c r="C195" s="2" t="s">
        <v>9</v>
      </c>
      <c r="D195">
        <v>25</v>
      </c>
      <c r="E195">
        <v>76</v>
      </c>
      <c r="F195">
        <v>2</v>
      </c>
      <c r="G195">
        <v>25</v>
      </c>
      <c r="H195">
        <v>2</v>
      </c>
      <c r="I195" t="s">
        <v>21</v>
      </c>
      <c r="J195">
        <v>700</v>
      </c>
      <c r="K195">
        <v>2</v>
      </c>
      <c r="L195">
        <v>0</v>
      </c>
      <c r="M195">
        <v>2</v>
      </c>
      <c r="N195">
        <v>0.1</v>
      </c>
      <c r="O195">
        <v>10000000</v>
      </c>
      <c r="P195" s="2">
        <v>498</v>
      </c>
      <c r="Q195">
        <v>6.49</v>
      </c>
      <c r="R195">
        <v>4.2</v>
      </c>
      <c r="S195">
        <v>0.20710000000000001</v>
      </c>
      <c r="T195">
        <v>0.56079011098986997</v>
      </c>
      <c r="U195" s="11">
        <f t="shared" ref="U195:U219" si="6">O195*(1-0.033/T195)</f>
        <v>9411544.5448609907</v>
      </c>
      <c r="V195" s="7"/>
      <c r="W195" s="7">
        <f t="shared" ref="W195:W219" si="7">5.7*10^(-7)*P195^(0.033)</f>
        <v>6.996541652868005E-7</v>
      </c>
    </row>
    <row r="196" spans="1:23" x14ac:dyDescent="0.3">
      <c r="A196" t="s">
        <v>115</v>
      </c>
      <c r="B196" t="s">
        <v>139</v>
      </c>
      <c r="C196" s="2" t="s">
        <v>9</v>
      </c>
      <c r="D196">
        <v>25</v>
      </c>
      <c r="E196">
        <v>76</v>
      </c>
      <c r="F196">
        <v>2</v>
      </c>
      <c r="G196">
        <v>25</v>
      </c>
      <c r="H196">
        <v>2</v>
      </c>
      <c r="I196" t="s">
        <v>21</v>
      </c>
      <c r="J196">
        <v>700</v>
      </c>
      <c r="K196">
        <v>2</v>
      </c>
      <c r="L196">
        <v>0</v>
      </c>
      <c r="M196">
        <v>2</v>
      </c>
      <c r="N196">
        <v>0.5</v>
      </c>
      <c r="O196">
        <v>10000000</v>
      </c>
      <c r="P196" s="2">
        <v>582</v>
      </c>
      <c r="Q196">
        <v>6.49</v>
      </c>
      <c r="R196">
        <v>4.2</v>
      </c>
      <c r="S196">
        <v>0.20710000000000001</v>
      </c>
      <c r="T196">
        <v>0.56079011098986997</v>
      </c>
      <c r="U196" s="11">
        <f t="shared" si="6"/>
        <v>9411544.5448609907</v>
      </c>
      <c r="V196" s="7"/>
      <c r="W196" s="7">
        <f t="shared" si="7"/>
        <v>7.0326226354482357E-7</v>
      </c>
    </row>
    <row r="197" spans="1:23" x14ac:dyDescent="0.3">
      <c r="A197" t="s">
        <v>116</v>
      </c>
      <c r="B197" t="s">
        <v>139</v>
      </c>
      <c r="C197" s="2" t="s">
        <v>9</v>
      </c>
      <c r="D197">
        <v>25</v>
      </c>
      <c r="E197">
        <v>76</v>
      </c>
      <c r="F197">
        <v>2</v>
      </c>
      <c r="G197">
        <v>25</v>
      </c>
      <c r="H197">
        <v>2</v>
      </c>
      <c r="I197" t="s">
        <v>21</v>
      </c>
      <c r="J197">
        <v>500</v>
      </c>
      <c r="K197">
        <v>24</v>
      </c>
      <c r="L197">
        <v>0</v>
      </c>
      <c r="M197">
        <v>2</v>
      </c>
      <c r="N197">
        <v>0</v>
      </c>
      <c r="O197">
        <v>10000000</v>
      </c>
      <c r="P197" s="2">
        <v>680</v>
      </c>
      <c r="Q197">
        <v>6.47</v>
      </c>
      <c r="R197">
        <v>4.1900000000000004</v>
      </c>
      <c r="S197">
        <v>0.1961</v>
      </c>
      <c r="T197">
        <v>0.56079011098986997</v>
      </c>
      <c r="U197" s="11">
        <f t="shared" si="6"/>
        <v>9411544.5448609907</v>
      </c>
      <c r="V197" s="7"/>
      <c r="W197" s="7">
        <f t="shared" si="7"/>
        <v>7.068831830428903E-7</v>
      </c>
    </row>
    <row r="198" spans="1:23" x14ac:dyDescent="0.3">
      <c r="A198" t="s">
        <v>117</v>
      </c>
      <c r="B198" t="s">
        <v>139</v>
      </c>
      <c r="C198" s="2" t="s">
        <v>9</v>
      </c>
      <c r="D198">
        <v>25</v>
      </c>
      <c r="E198">
        <v>76</v>
      </c>
      <c r="F198">
        <v>2</v>
      </c>
      <c r="G198">
        <v>25</v>
      </c>
      <c r="H198">
        <v>2</v>
      </c>
      <c r="I198" t="s">
        <v>21</v>
      </c>
      <c r="J198">
        <v>500</v>
      </c>
      <c r="K198">
        <v>24</v>
      </c>
      <c r="L198">
        <v>0</v>
      </c>
      <c r="M198">
        <v>2</v>
      </c>
      <c r="N198">
        <v>0</v>
      </c>
      <c r="O198">
        <v>10000000</v>
      </c>
      <c r="P198" s="2">
        <v>540</v>
      </c>
      <c r="Q198">
        <v>6.47</v>
      </c>
      <c r="R198">
        <v>4.1900000000000004</v>
      </c>
      <c r="S198">
        <v>0.1961</v>
      </c>
      <c r="T198">
        <v>0.56079011098986997</v>
      </c>
      <c r="U198" s="11">
        <f t="shared" si="6"/>
        <v>9411544.5448609907</v>
      </c>
      <c r="V198" s="7"/>
      <c r="W198" s="7">
        <f t="shared" si="7"/>
        <v>7.0152612637489846E-7</v>
      </c>
    </row>
    <row r="199" spans="1:23" x14ac:dyDescent="0.3">
      <c r="A199" t="s">
        <v>118</v>
      </c>
      <c r="B199" t="s">
        <v>139</v>
      </c>
      <c r="C199" s="2" t="s">
        <v>9</v>
      </c>
      <c r="D199">
        <v>25</v>
      </c>
      <c r="E199">
        <v>76</v>
      </c>
      <c r="F199">
        <v>2</v>
      </c>
      <c r="G199">
        <v>25</v>
      </c>
      <c r="H199">
        <v>2</v>
      </c>
      <c r="I199" t="s">
        <v>21</v>
      </c>
      <c r="J199">
        <v>500</v>
      </c>
      <c r="K199">
        <v>24</v>
      </c>
      <c r="L199">
        <v>0</v>
      </c>
      <c r="M199">
        <v>2</v>
      </c>
      <c r="N199">
        <v>0</v>
      </c>
      <c r="O199">
        <v>10000000</v>
      </c>
      <c r="P199" s="2">
        <v>600</v>
      </c>
      <c r="Q199">
        <v>6.47</v>
      </c>
      <c r="R199">
        <v>4.1900000000000004</v>
      </c>
      <c r="S199">
        <v>0.1961</v>
      </c>
      <c r="T199">
        <v>0.56079011098986997</v>
      </c>
      <c r="U199" s="11">
        <f t="shared" si="6"/>
        <v>9411544.5448609907</v>
      </c>
      <c r="V199" s="7"/>
      <c r="W199" s="7">
        <f t="shared" si="7"/>
        <v>7.0396950569851215E-7</v>
      </c>
    </row>
    <row r="200" spans="1:23" x14ac:dyDescent="0.3">
      <c r="A200" t="s">
        <v>119</v>
      </c>
      <c r="B200" t="s">
        <v>139</v>
      </c>
      <c r="C200" s="2" t="s">
        <v>9</v>
      </c>
      <c r="D200">
        <v>25</v>
      </c>
      <c r="E200">
        <v>76</v>
      </c>
      <c r="F200">
        <v>2</v>
      </c>
      <c r="G200">
        <v>25</v>
      </c>
      <c r="H200">
        <v>2</v>
      </c>
      <c r="I200" t="s">
        <v>21</v>
      </c>
      <c r="J200">
        <v>500</v>
      </c>
      <c r="K200">
        <v>24</v>
      </c>
      <c r="L200">
        <v>0</v>
      </c>
      <c r="M200">
        <v>2</v>
      </c>
      <c r="N200">
        <v>0</v>
      </c>
      <c r="O200">
        <v>10000000</v>
      </c>
      <c r="P200" s="2">
        <v>730</v>
      </c>
      <c r="Q200">
        <v>6.47</v>
      </c>
      <c r="R200">
        <v>4.1900000000000004</v>
      </c>
      <c r="S200">
        <v>0.1961</v>
      </c>
      <c r="T200">
        <v>0.56079011098986997</v>
      </c>
      <c r="U200" s="11">
        <f t="shared" si="6"/>
        <v>9411544.5448609907</v>
      </c>
      <c r="V200" s="7"/>
      <c r="W200" s="7">
        <f t="shared" si="7"/>
        <v>7.085402236252149E-7</v>
      </c>
    </row>
    <row r="201" spans="1:23" x14ac:dyDescent="0.3">
      <c r="A201" t="s">
        <v>120</v>
      </c>
      <c r="B201" t="s">
        <v>139</v>
      </c>
      <c r="C201" s="2" t="s">
        <v>9</v>
      </c>
      <c r="D201">
        <v>25</v>
      </c>
      <c r="E201">
        <v>76</v>
      </c>
      <c r="F201">
        <v>2</v>
      </c>
      <c r="G201">
        <v>25</v>
      </c>
      <c r="H201">
        <v>2</v>
      </c>
      <c r="I201" t="s">
        <v>21</v>
      </c>
      <c r="J201">
        <v>500</v>
      </c>
      <c r="K201">
        <v>24</v>
      </c>
      <c r="L201">
        <v>0</v>
      </c>
      <c r="M201">
        <v>2</v>
      </c>
      <c r="N201">
        <v>0</v>
      </c>
      <c r="O201">
        <v>10000000</v>
      </c>
      <c r="P201" s="2">
        <v>800</v>
      </c>
      <c r="Q201">
        <v>6.47</v>
      </c>
      <c r="R201">
        <v>4.1900000000000004</v>
      </c>
      <c r="S201">
        <v>0.1961</v>
      </c>
      <c r="T201">
        <v>0.56079011098986997</v>
      </c>
      <c r="U201" s="11">
        <f t="shared" si="6"/>
        <v>9411544.5448609907</v>
      </c>
      <c r="V201" s="7"/>
      <c r="W201" s="7">
        <f t="shared" si="7"/>
        <v>7.1068446995952741E-7</v>
      </c>
    </row>
    <row r="202" spans="1:23" x14ac:dyDescent="0.3">
      <c r="A202" t="s">
        <v>121</v>
      </c>
      <c r="B202" t="s">
        <v>139</v>
      </c>
      <c r="C202" s="2" t="s">
        <v>4</v>
      </c>
      <c r="D202">
        <v>25</v>
      </c>
      <c r="E202">
        <v>76</v>
      </c>
      <c r="F202">
        <v>2</v>
      </c>
      <c r="G202">
        <v>1050</v>
      </c>
      <c r="H202">
        <v>0.25</v>
      </c>
      <c r="I202" t="s">
        <v>21</v>
      </c>
      <c r="J202">
        <v>500</v>
      </c>
      <c r="K202">
        <v>24</v>
      </c>
      <c r="L202">
        <v>0</v>
      </c>
      <c r="M202">
        <v>2</v>
      </c>
      <c r="N202">
        <v>0</v>
      </c>
      <c r="O202">
        <v>10000000</v>
      </c>
      <c r="P202" s="2">
        <v>680</v>
      </c>
      <c r="Q202">
        <v>6.47</v>
      </c>
      <c r="R202">
        <v>4.1900000000000004</v>
      </c>
      <c r="S202">
        <v>0.1961</v>
      </c>
      <c r="T202">
        <v>0.56079011098986997</v>
      </c>
      <c r="U202" s="11">
        <f t="shared" si="6"/>
        <v>9411544.5448609907</v>
      </c>
      <c r="V202" s="7"/>
      <c r="W202" s="7">
        <f t="shared" si="7"/>
        <v>7.068831830428903E-7</v>
      </c>
    </row>
    <row r="203" spans="1:23" x14ac:dyDescent="0.3">
      <c r="A203" t="s">
        <v>122</v>
      </c>
      <c r="B203" t="s">
        <v>139</v>
      </c>
      <c r="C203" s="2" t="s">
        <v>9</v>
      </c>
      <c r="D203">
        <v>25</v>
      </c>
      <c r="E203">
        <v>76</v>
      </c>
      <c r="F203">
        <v>2</v>
      </c>
      <c r="G203">
        <v>25</v>
      </c>
      <c r="H203">
        <v>1</v>
      </c>
      <c r="I203" t="s">
        <v>21</v>
      </c>
      <c r="J203">
        <v>595</v>
      </c>
      <c r="K203">
        <v>8</v>
      </c>
      <c r="L203">
        <v>0</v>
      </c>
      <c r="M203">
        <v>2</v>
      </c>
      <c r="N203">
        <v>-1</v>
      </c>
      <c r="O203">
        <v>10000000</v>
      </c>
      <c r="P203" s="2">
        <v>620</v>
      </c>
      <c r="Q203">
        <v>6.4</v>
      </c>
      <c r="R203">
        <v>4</v>
      </c>
      <c r="S203">
        <v>0.19</v>
      </c>
      <c r="T203">
        <v>0.56079011098986997</v>
      </c>
      <c r="U203" s="11">
        <f t="shared" si="6"/>
        <v>9411544.5448609907</v>
      </c>
      <c r="V203" s="7"/>
      <c r="W203" s="7">
        <f t="shared" si="7"/>
        <v>7.04731658140099E-7</v>
      </c>
    </row>
    <row r="204" spans="1:23" x14ac:dyDescent="0.3">
      <c r="A204" t="s">
        <v>123</v>
      </c>
      <c r="B204" t="s">
        <v>139</v>
      </c>
      <c r="C204" s="2" t="s">
        <v>9</v>
      </c>
      <c r="D204">
        <v>25</v>
      </c>
      <c r="E204">
        <v>76</v>
      </c>
      <c r="F204">
        <v>2</v>
      </c>
      <c r="G204">
        <v>25</v>
      </c>
      <c r="H204">
        <v>1</v>
      </c>
      <c r="I204" t="s">
        <v>21</v>
      </c>
      <c r="J204">
        <v>1300</v>
      </c>
      <c r="K204">
        <v>4</v>
      </c>
      <c r="L204">
        <v>0</v>
      </c>
      <c r="M204">
        <v>2</v>
      </c>
      <c r="N204">
        <v>0.1</v>
      </c>
      <c r="O204">
        <v>10000000</v>
      </c>
      <c r="P204" s="2">
        <v>750</v>
      </c>
      <c r="Q204">
        <v>8</v>
      </c>
      <c r="R204">
        <v>10</v>
      </c>
      <c r="S204">
        <v>0</v>
      </c>
      <c r="T204">
        <v>0.95917011249040085</v>
      </c>
      <c r="U204" s="11">
        <f t="shared" si="6"/>
        <v>9655952.5826517008</v>
      </c>
      <c r="V204" s="7"/>
      <c r="W204" s="7">
        <f t="shared" si="7"/>
        <v>7.0917248530707131E-7</v>
      </c>
    </row>
    <row r="205" spans="1:23" x14ac:dyDescent="0.3">
      <c r="A205" t="s">
        <v>124</v>
      </c>
      <c r="B205" t="s">
        <v>139</v>
      </c>
      <c r="C205" s="2" t="s">
        <v>9</v>
      </c>
      <c r="D205">
        <v>25</v>
      </c>
      <c r="E205">
        <v>76</v>
      </c>
      <c r="F205">
        <v>2</v>
      </c>
      <c r="G205">
        <v>25</v>
      </c>
      <c r="H205">
        <v>1</v>
      </c>
      <c r="I205" t="s">
        <v>21</v>
      </c>
      <c r="J205">
        <v>1300</v>
      </c>
      <c r="K205">
        <v>4</v>
      </c>
      <c r="L205">
        <v>0</v>
      </c>
      <c r="M205">
        <v>2</v>
      </c>
      <c r="N205">
        <v>0</v>
      </c>
      <c r="O205">
        <v>10000000</v>
      </c>
      <c r="P205" s="2">
        <v>268.16000000000003</v>
      </c>
      <c r="Q205">
        <v>8.67</v>
      </c>
      <c r="R205">
        <v>18.7</v>
      </c>
      <c r="S205">
        <v>0.57100000000000006</v>
      </c>
      <c r="T205">
        <v>0.54440322001040764</v>
      </c>
      <c r="U205" s="11">
        <f t="shared" si="6"/>
        <v>9393831.6529544201</v>
      </c>
      <c r="V205" s="7"/>
      <c r="W205" s="7">
        <f t="shared" si="7"/>
        <v>6.8550694263994496E-7</v>
      </c>
    </row>
    <row r="206" spans="1:23" x14ac:dyDescent="0.3">
      <c r="A206" t="s">
        <v>125</v>
      </c>
      <c r="B206" t="s">
        <v>139</v>
      </c>
      <c r="C206" s="2" t="s">
        <v>9</v>
      </c>
      <c r="D206">
        <v>25</v>
      </c>
      <c r="E206">
        <v>76</v>
      </c>
      <c r="F206">
        <v>2</v>
      </c>
      <c r="G206">
        <v>25</v>
      </c>
      <c r="H206">
        <v>1</v>
      </c>
      <c r="I206" t="s">
        <v>21</v>
      </c>
      <c r="J206">
        <v>1300</v>
      </c>
      <c r="K206">
        <v>4</v>
      </c>
      <c r="L206">
        <v>0</v>
      </c>
      <c r="M206">
        <v>2</v>
      </c>
      <c r="N206">
        <v>0</v>
      </c>
      <c r="O206">
        <v>10000000</v>
      </c>
      <c r="P206" s="2">
        <v>206.5</v>
      </c>
      <c r="Q206">
        <v>8.67</v>
      </c>
      <c r="R206">
        <v>18.7</v>
      </c>
      <c r="S206">
        <v>0.57100000000000006</v>
      </c>
      <c r="T206">
        <v>0.54440322001040764</v>
      </c>
      <c r="U206" s="11">
        <f t="shared" si="6"/>
        <v>9393831.6529544201</v>
      </c>
      <c r="V206" s="7"/>
      <c r="W206" s="7">
        <f t="shared" si="7"/>
        <v>6.7962166914683587E-7</v>
      </c>
    </row>
    <row r="207" spans="1:23" x14ac:dyDescent="0.3">
      <c r="A207" t="s">
        <v>126</v>
      </c>
      <c r="B207" t="s">
        <v>139</v>
      </c>
      <c r="C207" s="2" t="s">
        <v>9</v>
      </c>
      <c r="D207">
        <v>25</v>
      </c>
      <c r="E207">
        <v>76</v>
      </c>
      <c r="F207">
        <v>2</v>
      </c>
      <c r="G207">
        <v>25</v>
      </c>
      <c r="H207">
        <v>1</v>
      </c>
      <c r="I207" t="s">
        <v>21</v>
      </c>
      <c r="J207">
        <v>800</v>
      </c>
      <c r="K207">
        <v>2</v>
      </c>
      <c r="L207">
        <v>0</v>
      </c>
      <c r="M207">
        <v>2</v>
      </c>
      <c r="N207">
        <v>0</v>
      </c>
      <c r="O207">
        <v>10000000</v>
      </c>
      <c r="P207" s="2">
        <v>298.43</v>
      </c>
      <c r="Q207">
        <v>8.67</v>
      </c>
      <c r="R207">
        <v>18.7</v>
      </c>
      <c r="S207">
        <v>0.57100000000000006</v>
      </c>
      <c r="T207">
        <v>0.54440322001040764</v>
      </c>
      <c r="U207" s="11">
        <f t="shared" si="6"/>
        <v>9393831.6529544201</v>
      </c>
      <c r="V207" s="7"/>
      <c r="W207" s="7">
        <f t="shared" si="7"/>
        <v>6.8793064695724391E-7</v>
      </c>
    </row>
    <row r="208" spans="1:23" x14ac:dyDescent="0.3">
      <c r="A208" t="s">
        <v>127</v>
      </c>
      <c r="B208" t="s">
        <v>139</v>
      </c>
      <c r="C208" s="2" t="s">
        <v>9</v>
      </c>
      <c r="D208">
        <v>25</v>
      </c>
      <c r="E208">
        <v>76</v>
      </c>
      <c r="F208">
        <v>2</v>
      </c>
      <c r="G208">
        <v>25</v>
      </c>
      <c r="H208">
        <v>1</v>
      </c>
      <c r="I208" t="s">
        <v>21</v>
      </c>
      <c r="J208">
        <v>800</v>
      </c>
      <c r="K208">
        <v>2</v>
      </c>
      <c r="L208">
        <v>0</v>
      </c>
      <c r="M208">
        <v>2</v>
      </c>
      <c r="N208">
        <v>0.1</v>
      </c>
      <c r="O208">
        <v>12572495</v>
      </c>
      <c r="P208" s="2">
        <v>1098.3499999999999</v>
      </c>
      <c r="Q208">
        <v>8.5</v>
      </c>
      <c r="R208">
        <v>6.5399999999999991</v>
      </c>
      <c r="S208">
        <v>0.129</v>
      </c>
      <c r="T208">
        <v>0.95917011249040085</v>
      </c>
      <c r="U208" s="11">
        <f t="shared" si="6"/>
        <v>12139941.55656256</v>
      </c>
      <c r="V208" s="7"/>
      <c r="W208" s="7">
        <f t="shared" si="7"/>
        <v>7.181568389237017E-7</v>
      </c>
    </row>
    <row r="209" spans="1:23" x14ac:dyDescent="0.3">
      <c r="A209" t="s">
        <v>128</v>
      </c>
      <c r="B209" t="s">
        <v>139</v>
      </c>
      <c r="C209" s="2" t="s">
        <v>9</v>
      </c>
      <c r="D209">
        <v>25</v>
      </c>
      <c r="E209">
        <v>76</v>
      </c>
      <c r="F209">
        <v>2</v>
      </c>
      <c r="G209">
        <v>25</v>
      </c>
      <c r="H209">
        <v>1</v>
      </c>
      <c r="I209" t="s">
        <v>21</v>
      </c>
      <c r="J209">
        <v>600</v>
      </c>
      <c r="K209">
        <v>8</v>
      </c>
      <c r="L209">
        <v>0</v>
      </c>
      <c r="M209">
        <v>2</v>
      </c>
      <c r="N209">
        <v>0.1</v>
      </c>
      <c r="O209">
        <v>22483487</v>
      </c>
      <c r="P209" s="2">
        <v>1045.6500000000001</v>
      </c>
      <c r="Q209">
        <v>8.5</v>
      </c>
      <c r="R209">
        <v>6.5399999999999991</v>
      </c>
      <c r="S209">
        <v>0.129</v>
      </c>
      <c r="T209">
        <v>0.95917011249040085</v>
      </c>
      <c r="U209" s="11">
        <f t="shared" si="6"/>
        <v>21709948.436466593</v>
      </c>
      <c r="V209" s="7"/>
      <c r="W209" s="7">
        <f t="shared" si="7"/>
        <v>7.1699248701852634E-7</v>
      </c>
    </row>
    <row r="210" spans="1:23" x14ac:dyDescent="0.3">
      <c r="A210" t="s">
        <v>129</v>
      </c>
      <c r="B210" t="s">
        <v>139</v>
      </c>
      <c r="C210" s="2" t="s">
        <v>9</v>
      </c>
      <c r="D210">
        <v>25</v>
      </c>
      <c r="E210">
        <v>76</v>
      </c>
      <c r="F210">
        <v>2</v>
      </c>
      <c r="G210">
        <v>25</v>
      </c>
      <c r="H210">
        <v>1</v>
      </c>
      <c r="I210" t="s">
        <v>21</v>
      </c>
      <c r="J210">
        <v>800</v>
      </c>
      <c r="K210">
        <v>2</v>
      </c>
      <c r="L210">
        <v>0</v>
      </c>
      <c r="M210">
        <v>2</v>
      </c>
      <c r="N210">
        <v>0.1</v>
      </c>
      <c r="O210">
        <v>30000000</v>
      </c>
      <c r="P210" s="2">
        <v>703</v>
      </c>
      <c r="Q210">
        <v>8.15</v>
      </c>
      <c r="R210">
        <v>5.8</v>
      </c>
      <c r="S210">
        <v>6.3E-2</v>
      </c>
      <c r="T210">
        <v>0.95917011249040085</v>
      </c>
      <c r="U210" s="11">
        <f t="shared" si="6"/>
        <v>28967857.747955102</v>
      </c>
      <c r="V210" s="7"/>
      <c r="W210" s="7">
        <f t="shared" si="7"/>
        <v>7.0765956542524853E-7</v>
      </c>
    </row>
    <row r="211" spans="1:23" x14ac:dyDescent="0.3">
      <c r="A211" t="s">
        <v>130</v>
      </c>
      <c r="B211" t="s">
        <v>139</v>
      </c>
      <c r="C211" s="2" t="s">
        <v>9</v>
      </c>
      <c r="D211">
        <v>25</v>
      </c>
      <c r="E211">
        <v>76</v>
      </c>
      <c r="F211">
        <v>2</v>
      </c>
      <c r="G211">
        <v>25</v>
      </c>
      <c r="H211">
        <v>1</v>
      </c>
      <c r="I211" t="s">
        <v>21</v>
      </c>
      <c r="J211">
        <v>800</v>
      </c>
      <c r="K211">
        <v>2</v>
      </c>
      <c r="L211">
        <v>0</v>
      </c>
      <c r="M211">
        <v>2</v>
      </c>
      <c r="N211">
        <v>0.1</v>
      </c>
      <c r="O211">
        <v>34482918</v>
      </c>
      <c r="P211" s="2">
        <v>947.76</v>
      </c>
      <c r="Q211">
        <v>8.5</v>
      </c>
      <c r="R211">
        <v>6.5399999999999991</v>
      </c>
      <c r="S211">
        <v>0.129</v>
      </c>
      <c r="T211">
        <v>0.95917011249040085</v>
      </c>
      <c r="U211" s="11">
        <f t="shared" si="6"/>
        <v>33296542.111946683</v>
      </c>
      <c r="V211" s="7"/>
      <c r="W211" s="7">
        <f t="shared" si="7"/>
        <v>7.1467057618442428E-7</v>
      </c>
    </row>
    <row r="212" spans="1:23" x14ac:dyDescent="0.3">
      <c r="A212" t="s">
        <v>131</v>
      </c>
      <c r="B212" t="s">
        <v>139</v>
      </c>
      <c r="C212" s="2" t="s">
        <v>9</v>
      </c>
      <c r="D212">
        <v>25</v>
      </c>
      <c r="E212">
        <v>76</v>
      </c>
      <c r="F212">
        <v>2</v>
      </c>
      <c r="G212">
        <v>25</v>
      </c>
      <c r="H212">
        <v>1</v>
      </c>
      <c r="I212" t="s">
        <v>21</v>
      </c>
      <c r="J212">
        <v>800</v>
      </c>
      <c r="K212">
        <v>2</v>
      </c>
      <c r="L212">
        <v>0</v>
      </c>
      <c r="M212">
        <v>2</v>
      </c>
      <c r="N212">
        <v>0.1</v>
      </c>
      <c r="O212">
        <v>39420453</v>
      </c>
      <c r="P212" s="2">
        <v>846.12</v>
      </c>
      <c r="Q212">
        <v>8.5</v>
      </c>
      <c r="R212">
        <v>6.5399999999999991</v>
      </c>
      <c r="S212">
        <v>0.129</v>
      </c>
      <c r="T212">
        <v>0.95917011249040085</v>
      </c>
      <c r="U212" s="11">
        <f t="shared" si="6"/>
        <v>38064202.495465003</v>
      </c>
      <c r="V212" s="7"/>
      <c r="W212" s="7">
        <f t="shared" si="7"/>
        <v>7.1200019138758044E-7</v>
      </c>
    </row>
    <row r="213" spans="1:23" x14ac:dyDescent="0.3">
      <c r="A213" t="s">
        <v>132</v>
      </c>
      <c r="B213" t="s">
        <v>139</v>
      </c>
      <c r="C213" s="2" t="s">
        <v>9</v>
      </c>
      <c r="D213">
        <v>25</v>
      </c>
      <c r="E213">
        <v>76</v>
      </c>
      <c r="F213">
        <v>2</v>
      </c>
      <c r="G213">
        <v>25</v>
      </c>
      <c r="H213">
        <v>1</v>
      </c>
      <c r="I213" t="s">
        <v>21</v>
      </c>
      <c r="J213">
        <v>800</v>
      </c>
      <c r="K213">
        <v>2</v>
      </c>
      <c r="L213">
        <v>0</v>
      </c>
      <c r="M213">
        <v>2</v>
      </c>
      <c r="N213">
        <v>0.1</v>
      </c>
      <c r="O213">
        <v>47590556</v>
      </c>
      <c r="P213" s="2">
        <v>695.53</v>
      </c>
      <c r="Q213">
        <v>8.5</v>
      </c>
      <c r="R213">
        <v>6.5399999999999991</v>
      </c>
      <c r="S213">
        <v>0.129</v>
      </c>
      <c r="T213">
        <v>0.95917011249040085</v>
      </c>
      <c r="U213" s="11">
        <f t="shared" si="6"/>
        <v>45953215.211803041</v>
      </c>
      <c r="V213" s="7"/>
      <c r="W213" s="7">
        <f t="shared" si="7"/>
        <v>7.0741013770736338E-7</v>
      </c>
    </row>
    <row r="214" spans="1:23" x14ac:dyDescent="0.3">
      <c r="A214" t="s">
        <v>133</v>
      </c>
      <c r="B214" t="s">
        <v>139</v>
      </c>
      <c r="C214" s="2" t="s">
        <v>9</v>
      </c>
      <c r="D214">
        <v>25</v>
      </c>
      <c r="E214">
        <v>76</v>
      </c>
      <c r="F214">
        <v>2</v>
      </c>
      <c r="G214">
        <v>25</v>
      </c>
      <c r="H214">
        <v>1</v>
      </c>
      <c r="I214" t="s">
        <v>21</v>
      </c>
      <c r="J214">
        <v>800</v>
      </c>
      <c r="K214">
        <v>2</v>
      </c>
      <c r="L214">
        <v>0</v>
      </c>
      <c r="M214">
        <v>2</v>
      </c>
      <c r="N214">
        <v>0.1</v>
      </c>
      <c r="O214">
        <v>55964069</v>
      </c>
      <c r="P214" s="2">
        <v>597.65</v>
      </c>
      <c r="Q214">
        <v>8.5</v>
      </c>
      <c r="R214">
        <v>6.5399999999999991</v>
      </c>
      <c r="S214">
        <v>0.129</v>
      </c>
      <c r="T214">
        <v>0.95917011249040085</v>
      </c>
      <c r="U214" s="11">
        <f t="shared" si="6"/>
        <v>54038639.6596248</v>
      </c>
      <c r="V214" s="7"/>
      <c r="W214" s="7">
        <f t="shared" si="7"/>
        <v>7.0387834489128274E-7</v>
      </c>
    </row>
    <row r="215" spans="1:23" x14ac:dyDescent="0.3">
      <c r="A215" t="s">
        <v>134</v>
      </c>
      <c r="B215" t="s">
        <v>139</v>
      </c>
      <c r="C215" s="2" t="s">
        <v>9</v>
      </c>
      <c r="D215">
        <v>25</v>
      </c>
      <c r="E215">
        <v>76</v>
      </c>
      <c r="F215">
        <v>2</v>
      </c>
      <c r="G215">
        <v>25</v>
      </c>
      <c r="H215">
        <v>1</v>
      </c>
      <c r="I215" t="s">
        <v>21</v>
      </c>
      <c r="J215">
        <v>800</v>
      </c>
      <c r="K215">
        <v>2</v>
      </c>
      <c r="L215">
        <v>0</v>
      </c>
      <c r="M215">
        <v>2</v>
      </c>
      <c r="N215">
        <v>0.1</v>
      </c>
      <c r="O215">
        <v>75226561</v>
      </c>
      <c r="P215" s="2">
        <v>546.88199999999995</v>
      </c>
      <c r="Q215">
        <v>8.5</v>
      </c>
      <c r="R215">
        <v>6.5399999999999991</v>
      </c>
      <c r="S215">
        <v>0.129</v>
      </c>
      <c r="T215">
        <v>0.95917011249040085</v>
      </c>
      <c r="U215" s="11">
        <f t="shared" si="6"/>
        <v>72638410.597195581</v>
      </c>
      <c r="V215" s="7"/>
      <c r="W215" s="7">
        <f t="shared" si="7"/>
        <v>7.0181936191952185E-7</v>
      </c>
    </row>
    <row r="216" spans="1:23" x14ac:dyDescent="0.3">
      <c r="A216" t="s">
        <v>135</v>
      </c>
      <c r="B216" t="s">
        <v>139</v>
      </c>
      <c r="C216" s="2" t="s">
        <v>9</v>
      </c>
      <c r="D216">
        <v>25</v>
      </c>
      <c r="E216">
        <v>76</v>
      </c>
      <c r="F216">
        <v>2</v>
      </c>
      <c r="G216">
        <v>25</v>
      </c>
      <c r="H216">
        <v>1</v>
      </c>
      <c r="I216" t="s">
        <v>21</v>
      </c>
      <c r="J216">
        <v>1300</v>
      </c>
      <c r="K216">
        <v>4</v>
      </c>
      <c r="L216">
        <v>0</v>
      </c>
      <c r="M216">
        <v>2</v>
      </c>
      <c r="N216">
        <v>0.1</v>
      </c>
      <c r="O216">
        <v>94680341</v>
      </c>
      <c r="P216" s="2">
        <v>497.88</v>
      </c>
      <c r="Q216">
        <v>8.5</v>
      </c>
      <c r="R216">
        <v>6.5399999999999991</v>
      </c>
      <c r="S216">
        <v>0.129</v>
      </c>
      <c r="T216">
        <v>0.95917011249040085</v>
      </c>
      <c r="U216" s="11">
        <f t="shared" si="6"/>
        <v>91422888.320529372</v>
      </c>
      <c r="V216" s="7"/>
      <c r="W216" s="7">
        <f t="shared" si="7"/>
        <v>6.996486011234658E-7</v>
      </c>
    </row>
    <row r="217" spans="1:23" x14ac:dyDescent="0.3">
      <c r="A217" t="s">
        <v>136</v>
      </c>
      <c r="B217" t="s">
        <v>139</v>
      </c>
      <c r="C217" s="2" t="s">
        <v>9</v>
      </c>
      <c r="D217">
        <v>25</v>
      </c>
      <c r="E217">
        <v>76</v>
      </c>
      <c r="F217">
        <v>2</v>
      </c>
      <c r="G217">
        <v>25</v>
      </c>
      <c r="H217">
        <v>1</v>
      </c>
      <c r="I217" t="s">
        <v>21</v>
      </c>
      <c r="J217">
        <v>1300</v>
      </c>
      <c r="K217">
        <v>4</v>
      </c>
      <c r="L217">
        <v>0</v>
      </c>
      <c r="M217">
        <v>2</v>
      </c>
      <c r="N217">
        <v>-1</v>
      </c>
      <c r="O217">
        <v>100000000</v>
      </c>
      <c r="P217" s="2">
        <v>500</v>
      </c>
      <c r="Q217">
        <v>10.149000000000001</v>
      </c>
      <c r="R217">
        <v>4.95</v>
      </c>
      <c r="S217">
        <v>0.1615</v>
      </c>
      <c r="T217">
        <v>0.96022466747650492</v>
      </c>
      <c r="U217" s="11">
        <f t="shared" si="6"/>
        <v>96563304.285160184</v>
      </c>
      <c r="V217" s="7"/>
      <c r="W217" s="7">
        <f t="shared" si="7"/>
        <v>6.9974671095948523E-7</v>
      </c>
    </row>
    <row r="218" spans="1:23" x14ac:dyDescent="0.3">
      <c r="A218" t="s">
        <v>137</v>
      </c>
      <c r="B218" t="s">
        <v>139</v>
      </c>
      <c r="C218" s="2" t="s">
        <v>9</v>
      </c>
      <c r="D218">
        <v>25</v>
      </c>
      <c r="E218">
        <v>76</v>
      </c>
      <c r="F218">
        <v>2</v>
      </c>
      <c r="G218">
        <v>25</v>
      </c>
      <c r="H218">
        <v>1</v>
      </c>
      <c r="I218" t="s">
        <v>21</v>
      </c>
      <c r="J218">
        <v>1300</v>
      </c>
      <c r="K218">
        <v>4</v>
      </c>
      <c r="L218">
        <v>0</v>
      </c>
      <c r="M218">
        <v>2</v>
      </c>
      <c r="N218">
        <v>0.1</v>
      </c>
      <c r="O218">
        <v>100000000</v>
      </c>
      <c r="P218" s="2">
        <v>400</v>
      </c>
      <c r="Q218">
        <v>10.149000000000001</v>
      </c>
      <c r="R218">
        <v>4.95</v>
      </c>
      <c r="S218">
        <v>0.1615</v>
      </c>
      <c r="T218">
        <v>0.96022466747650492</v>
      </c>
      <c r="U218" s="11">
        <f t="shared" si="6"/>
        <v>96563304.285160184</v>
      </c>
      <c r="V218" s="7"/>
      <c r="W218" s="7">
        <f t="shared" si="7"/>
        <v>6.9461288534764957E-7</v>
      </c>
    </row>
    <row r="219" spans="1:23" x14ac:dyDescent="0.3">
      <c r="A219" t="s">
        <v>138</v>
      </c>
      <c r="B219" t="s">
        <v>139</v>
      </c>
      <c r="C219" s="2" t="s">
        <v>9</v>
      </c>
      <c r="D219">
        <v>25</v>
      </c>
      <c r="E219">
        <v>76</v>
      </c>
      <c r="F219">
        <v>2</v>
      </c>
      <c r="G219">
        <v>25</v>
      </c>
      <c r="H219">
        <v>1</v>
      </c>
      <c r="I219" t="s">
        <v>21</v>
      </c>
      <c r="J219">
        <v>1300</v>
      </c>
      <c r="K219">
        <v>4</v>
      </c>
      <c r="L219">
        <v>0</v>
      </c>
      <c r="M219">
        <v>2</v>
      </c>
      <c r="N219">
        <v>-1</v>
      </c>
      <c r="O219">
        <v>100000000</v>
      </c>
      <c r="P219" s="2">
        <v>253.59</v>
      </c>
      <c r="Q219">
        <v>8.67</v>
      </c>
      <c r="R219">
        <v>18.7</v>
      </c>
      <c r="S219">
        <v>0.57100000000000006</v>
      </c>
      <c r="T219">
        <v>0.54440322001040764</v>
      </c>
      <c r="U219" s="11">
        <f t="shared" si="6"/>
        <v>93938316.52954419</v>
      </c>
      <c r="V219" s="7"/>
      <c r="W219" s="7">
        <f t="shared" si="7"/>
        <v>6.8424434330461663E-7</v>
      </c>
    </row>
    <row r="220" spans="1:23" x14ac:dyDescent="0.3">
      <c r="P220" s="2"/>
      <c r="W220" s="7"/>
    </row>
    <row r="221" spans="1:23" x14ac:dyDescent="0.3">
      <c r="P221" s="2"/>
      <c r="W221" s="7"/>
    </row>
    <row r="222" spans="1:23" x14ac:dyDescent="0.3">
      <c r="P222" s="2"/>
      <c r="W222" s="7"/>
    </row>
    <row r="223" spans="1:23" x14ac:dyDescent="0.3">
      <c r="P223" s="2"/>
      <c r="W223" s="7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Sheet_creep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Atasi Ghosh</cp:lastModifiedBy>
  <dcterms:created xsi:type="dcterms:W3CDTF">2026-02-11T01:57:24Z</dcterms:created>
  <dcterms:modified xsi:type="dcterms:W3CDTF">2026-03-07T11:01:15Z</dcterms:modified>
</cp:coreProperties>
</file>